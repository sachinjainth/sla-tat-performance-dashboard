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chinJ\My Drive (sachinjainth.in@gmail.com)\02_Learning\Excel\Practice\MIS 6\"/>
    </mc:Choice>
  </mc:AlternateContent>
  <xr:revisionPtr revIDLastSave="0" documentId="13_ncr:1_{59EED259-927E-40F2-A93C-4BDC4051C2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LA_Dashboard" sheetId="7" r:id="rId1"/>
    <sheet name="Management_Summary" sheetId="5" r:id="rId2"/>
    <sheet name="SLA_Rules" sheetId="4" r:id="rId3"/>
    <sheet name="Cleaned_Tickets" sheetId="3" r:id="rId4"/>
    <sheet name="Raw_Tickets" sheetId="6" r:id="rId5"/>
  </sheets>
  <definedNames>
    <definedName name="ExternalData_1" localSheetId="3" hidden="1">'Cleaned_Tickets'!$A$1:$O$36</definedName>
    <definedName name="ExternalData_2" localSheetId="2" hidden="1">SLA_Rules!$A$1:$B$5</definedName>
    <definedName name="ExternalData_3" localSheetId="1" hidden="1">Management_Summary!$A$1:$H$3</definedName>
    <definedName name="ExternalData_3" localSheetId="4" hidden="1">'Raw_Tickets'!$A$1:$H$36</definedName>
    <definedName name="_xlnm.Print_Area" localSheetId="0">SLA_Dashboard!$A$1:$O$34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7" l="1"/>
  <c r="C23" i="7"/>
  <c r="C22" i="7"/>
  <c r="H4" i="7"/>
  <c r="E4" i="7"/>
  <c r="B4" i="7"/>
  <c r="N4" i="7"/>
  <c r="K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D8DB1-AD52-470E-A497-6EFDAF41FEFE}" keepAlive="1" name="Query - Cleaned_Tickets" description="Connection to the 'Cleaned_Tickets' query in the workbook." type="5" refreshedVersion="8" background="1" saveData="1">
    <dbPr connection="Provider=Microsoft.Mashup.OleDb.1;Data Source=$Workbook$;Location=Cleaned_Tickets;Extended Properties=&quot;&quot;" command="SELECT * FROM [Cleaned_Tickets]"/>
  </connection>
  <connection id="2" xr16:uid="{62269A46-9656-4F67-BF64-94C0C1EFD03B}" keepAlive="1" name="Query - Management_Summary" description="Connection to the 'Management_Summary' query in the workbook." type="5" refreshedVersion="8" background="1" saveData="1">
    <dbPr connection="Provider=Microsoft.Mashup.OleDb.1;Data Source=$Workbook$;Location=Management_Summary;Extended Properties=&quot;&quot;" command="SELECT * FROM [Management_Summary]"/>
  </connection>
  <connection id="3" xr16:uid="{795D6A5D-C757-44EF-908C-60E1F8515856}" keepAlive="1" name="Query - Raw_Tickets" description="Connection to the 'Raw_Tickets' query in the workbook." type="5" refreshedVersion="8" background="1" saveData="1">
    <dbPr connection="Provider=Microsoft.Mashup.OleDb.1;Data Source=$Workbook$;Location=Raw_Tickets;Extended Properties=&quot;&quot;" command="SELECT * FROM [Raw_Tickets]"/>
  </connection>
  <connection id="4" xr16:uid="{31CA2073-3367-4B77-9FA0-DF7BEE9EE219}" keepAlive="1" name="Query - SLA_Rules" description="Connection to the 'SLA_Rules' query in the workbook." type="5" refreshedVersion="8" background="1" saveData="1">
    <dbPr connection="Provider=Microsoft.Mashup.OleDb.1;Data Source=$Workbook$;Location=SLA_Rules;Extended Properties=&quot;&quot;" command="SELECT * FROM [SLA_Rules]"/>
  </connection>
</connections>
</file>

<file path=xl/sharedStrings.xml><?xml version="1.0" encoding="utf-8"?>
<sst xmlns="http://schemas.openxmlformats.org/spreadsheetml/2006/main" count="471" uniqueCount="107">
  <si>
    <t>Ticket_ID</t>
  </si>
  <si>
    <t>Agent</t>
  </si>
  <si>
    <t>Team</t>
  </si>
  <si>
    <t>Priority</t>
  </si>
  <si>
    <t>Opened_Date</t>
  </si>
  <si>
    <t>Closed_Date</t>
  </si>
  <si>
    <t>Status</t>
  </si>
  <si>
    <t>Resolution_Hours</t>
  </si>
  <si>
    <t>TK001</t>
  </si>
  <si>
    <t>Rahul Sharma</t>
  </si>
  <si>
    <t>Support</t>
  </si>
  <si>
    <t>High</t>
  </si>
  <si>
    <t>Closed</t>
  </si>
  <si>
    <t>TK002</t>
  </si>
  <si>
    <t>Priya Mehta</t>
  </si>
  <si>
    <t>Medium</t>
  </si>
  <si>
    <t>TK003</t>
  </si>
  <si>
    <t>Amit Kumar</t>
  </si>
  <si>
    <t>Technical</t>
  </si>
  <si>
    <t>TK004</t>
  </si>
  <si>
    <t>Neha Singh</t>
  </si>
  <si>
    <t>Critical</t>
  </si>
  <si>
    <t>TK005</t>
  </si>
  <si>
    <t>Rohit Verma</t>
  </si>
  <si>
    <t>Low</t>
  </si>
  <si>
    <t>TK006</t>
  </si>
  <si>
    <t>Anjali Gupta</t>
  </si>
  <si>
    <t>TK007</t>
  </si>
  <si>
    <t>Vikas Yadav</t>
  </si>
  <si>
    <t>TK008</t>
  </si>
  <si>
    <t>Sneha Kapoor</t>
  </si>
  <si>
    <t>TK009</t>
  </si>
  <si>
    <t>Manish Jain</t>
  </si>
  <si>
    <t>HIGH</t>
  </si>
  <si>
    <t>TK010</t>
  </si>
  <si>
    <t>Pooja Arora</t>
  </si>
  <si>
    <t>Open</t>
  </si>
  <si>
    <t>TK011</t>
  </si>
  <si>
    <t>Arjun Malhotra</t>
  </si>
  <si>
    <t>TK012</t>
  </si>
  <si>
    <t>Kavita Rao</t>
  </si>
  <si>
    <t>TK013</t>
  </si>
  <si>
    <t>Sanjay Gupta</t>
  </si>
  <si>
    <t>TK014</t>
  </si>
  <si>
    <t>Riya Sharma</t>
  </si>
  <si>
    <t>TK015</t>
  </si>
  <si>
    <t>Mohit Bansal</t>
  </si>
  <si>
    <t>TK016</t>
  </si>
  <si>
    <t>Deepak Sethi</t>
  </si>
  <si>
    <t>closed</t>
  </si>
  <si>
    <t>TK017</t>
  </si>
  <si>
    <t>Simran Kaur</t>
  </si>
  <si>
    <t>TK018</t>
  </si>
  <si>
    <t>Varun Arora</t>
  </si>
  <si>
    <t>TK019</t>
  </si>
  <si>
    <t>Nitin Joshi</t>
  </si>
  <si>
    <t>TK020</t>
  </si>
  <si>
    <t>Meena Iyer</t>
  </si>
  <si>
    <t>TK021</t>
  </si>
  <si>
    <t>Ajay Singh</t>
  </si>
  <si>
    <t>TK022</t>
  </si>
  <si>
    <t>Divya Nair</t>
  </si>
  <si>
    <t>TK023</t>
  </si>
  <si>
    <t>Rakesh Kumar</t>
  </si>
  <si>
    <t>TK024</t>
  </si>
  <si>
    <t>Swati Verma</t>
  </si>
  <si>
    <t>TK025</t>
  </si>
  <si>
    <t>Manoj Kumar</t>
  </si>
  <si>
    <t>TK026</t>
  </si>
  <si>
    <t>Akash Jain</t>
  </si>
  <si>
    <t>TK027</t>
  </si>
  <si>
    <t>Nisha Agarwal</t>
  </si>
  <si>
    <t>TK028</t>
  </si>
  <si>
    <t>Harish Rawat</t>
  </si>
  <si>
    <t>TK029</t>
  </si>
  <si>
    <t>TK030</t>
  </si>
  <si>
    <t>TK031</t>
  </si>
  <si>
    <t>TK032</t>
  </si>
  <si>
    <t>TK033</t>
  </si>
  <si>
    <t>TK034</t>
  </si>
  <si>
    <t>TK035</t>
  </si>
  <si>
    <t>SLA_Hours</t>
  </si>
  <si>
    <t>TAT_Hours</t>
  </si>
  <si>
    <t>SLA_Status</t>
  </si>
  <si>
    <t>Ageing_Bucket</t>
  </si>
  <si>
    <t>SLA_Breach_Flag</t>
  </si>
  <si>
    <t>Within_SLA_Flag</t>
  </si>
  <si>
    <t>Open_Flag</t>
  </si>
  <si>
    <t>Within SLA</t>
  </si>
  <si>
    <t>0-8 hours</t>
  </si>
  <si>
    <t>9-24 hours</t>
  </si>
  <si>
    <t>25-48 hours</t>
  </si>
  <si>
    <t>SLA Breached</t>
  </si>
  <si>
    <t>48+ hours</t>
  </si>
  <si>
    <t>Ticket Count</t>
  </si>
  <si>
    <t>Avg TAT Hours</t>
  </si>
  <si>
    <t>SLA Breaches</t>
  </si>
  <si>
    <t>Open Tickets</t>
  </si>
  <si>
    <t>Avg Resolution Hours</t>
  </si>
  <si>
    <t>SLA Compliance %</t>
  </si>
  <si>
    <t>Total Tickets</t>
  </si>
  <si>
    <t>Avg TAT</t>
  </si>
  <si>
    <t>SLA Compliance</t>
  </si>
  <si>
    <t>SLA &amp; TAT PERFORMANCE DASHBOARD</t>
  </si>
  <si>
    <t>September 2026 | Support Operations</t>
  </si>
  <si>
    <t>SLA 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</si>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</sst>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\ &quot;hrs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1" applyNumberFormat="1" applyFont="1"/>
    <xf numFmtId="0" fontId="0" fillId="0" borderId="0" xfId="0" applyFill="1"/>
    <xf numFmtId="0" fontId="5" fillId="0" borderId="0" xfId="0" applyFont="1" applyFill="1"/>
    <xf numFmtId="0" fontId="6" fillId="0" borderId="0" xfId="0" applyFont="1" applyFill="1"/>
    <xf numFmtId="0" fontId="2" fillId="2" borderId="0" xfId="2" applyFont="1" applyAlignment="1">
      <alignment horizontal="center" vertical="center"/>
    </xf>
    <xf numFmtId="0" fontId="2" fillId="2" borderId="0" xfId="2" applyFont="1" applyAlignment="1">
      <alignment horizontal="right"/>
    </xf>
    <xf numFmtId="0" fontId="3" fillId="4" borderId="0" xfId="4" applyFont="1" applyAlignment="1">
      <alignment horizontal="center" vertical="center"/>
    </xf>
    <xf numFmtId="0" fontId="3" fillId="4" borderId="0" xfId="4" applyFont="1" applyAlignment="1">
      <alignment horizontal="center" vertical="center"/>
    </xf>
    <xf numFmtId="0" fontId="3" fillId="3" borderId="0" xfId="3" applyFont="1" applyAlignment="1">
      <alignment horizontal="center"/>
    </xf>
    <xf numFmtId="182" fontId="3" fillId="3" borderId="0" xfId="3" applyNumberFormat="1" applyFont="1" applyAlignment="1">
      <alignment horizontal="center"/>
    </xf>
    <xf numFmtId="10" fontId="3" fillId="3" borderId="0" xfId="3" applyNumberFormat="1" applyFont="1" applyAlignment="1">
      <alignment horizontal="center"/>
    </xf>
    <xf numFmtId="0" fontId="3" fillId="3" borderId="0" xfId="3" applyFont="1" applyAlignment="1">
      <alignment horizontal="center"/>
    </xf>
  </cellXfs>
  <cellStyles count="5">
    <cellStyle name="40% - Accent3" xfId="3" builtinId="39"/>
    <cellStyle name="60% - Accent3" xfId="4" builtinId="40"/>
    <cellStyle name="Accent3" xfId="2" builtinId="37"/>
    <cellStyle name="Normal" xfId="0" builtinId="0"/>
    <cellStyle name="Percent" xfId="1" builtinId="5"/>
  </cellStyles>
  <dxfs count="17">
    <dxf>
      <numFmt numFmtId="14" formatCode="0.00%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SLA Compliance by Team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Management_Summary!$H$1</c:f>
              <c:strCache>
                <c:ptCount val="1"/>
                <c:pt idx="0">
                  <c:v>SLA Compliance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Management_Summary!$A$2:$A$3</c:f>
              <c:strCache>
                <c:ptCount val="2"/>
                <c:pt idx="0">
                  <c:v>Support</c:v>
                </c:pt>
                <c:pt idx="1">
                  <c:v>Technical</c:v>
                </c:pt>
              </c:strCache>
            </c:strRef>
          </c:cat>
          <c:val>
            <c:numRef>
              <c:f>Management_Summary!$H$2:$H$3</c:f>
              <c:numCache>
                <c:formatCode>0.00%</c:formatCode>
                <c:ptCount val="2"/>
                <c:pt idx="0">
                  <c:v>0.94444444444444442</c:v>
                </c:pt>
                <c:pt idx="1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4-45BF-B7E2-C79A170D0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522400"/>
        <c:axId val="1983381504"/>
      </c:barChart>
      <c:catAx>
        <c:axId val="52852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381504"/>
        <c:crosses val="autoZero"/>
        <c:auto val="1"/>
        <c:lblAlgn val="ctr"/>
        <c:lblOffset val="100"/>
        <c:noMultiLvlLbl val="0"/>
      </c:catAx>
      <c:valAx>
        <c:axId val="19833815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2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 TAT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Management_Summary!$C$1</c:f>
              <c:strCache>
                <c:ptCount val="1"/>
                <c:pt idx="0">
                  <c:v>Avg TAT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Management_Summary!$A$2:$A$3</c:f>
              <c:strCache>
                <c:ptCount val="2"/>
                <c:pt idx="0">
                  <c:v>Support</c:v>
                </c:pt>
                <c:pt idx="1">
                  <c:v>Technical</c:v>
                </c:pt>
              </c:strCache>
            </c:strRef>
          </c:cat>
          <c:val>
            <c:numRef>
              <c:f>Management_Summary!$C$2:$C$3</c:f>
              <c:numCache>
                <c:formatCode>General</c:formatCode>
                <c:ptCount val="2"/>
                <c:pt idx="0">
                  <c:v>28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D-433D-ACE2-9BEB17647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584576"/>
        <c:axId val="1251923168"/>
      </c:barChart>
      <c:catAx>
        <c:axId val="5285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23168"/>
        <c:crosses val="autoZero"/>
        <c:auto val="1"/>
        <c:lblAlgn val="ctr"/>
        <c:lblOffset val="100"/>
        <c:noMultiLvlLbl val="0"/>
      </c:catAx>
      <c:valAx>
        <c:axId val="1251923168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8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SLA Status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SLA_Dashboard!$C$21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SLA_Dashboard!$B$22:$B$24</c:f>
              <c:strCache>
                <c:ptCount val="3"/>
                <c:pt idx="0">
                  <c:v>Within SLA</c:v>
                </c:pt>
                <c:pt idx="1">
                  <c:v>SLA Breached</c:v>
                </c:pt>
                <c:pt idx="2">
                  <c:v>Open</c:v>
                </c:pt>
              </c:strCache>
            </c:strRef>
          </c:cat>
          <c:val>
            <c:numRef>
              <c:f>SLA_Dashboard!$C$22:$C$24</c:f>
              <c:numCache>
                <c:formatCode>General</c:formatCode>
                <c:ptCount val="3"/>
                <c:pt idx="0">
                  <c:v>28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9-4B99-BB3B-E0F188A4E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38100</xdr:rowOff>
    </xdr:from>
    <xdr:to>
      <xdr:col>7</xdr:col>
      <xdr:colOff>504825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2287D1-A369-4ACE-88C5-63CC62B8C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523875</xdr:colOff>
      <xdr:row>4</xdr:row>
      <xdr:rowOff>38100</xdr:rowOff>
    </xdr:from>
    <xdr:to>
      <xdr:col>13</xdr:col>
      <xdr:colOff>809625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6965BF-C7DF-4C61-A77B-0A64333F6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523875</xdr:colOff>
      <xdr:row>18</xdr:row>
      <xdr:rowOff>176210</xdr:rowOff>
    </xdr:from>
    <xdr:to>
      <xdr:col>13</xdr:col>
      <xdr:colOff>819150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EC3557-630B-076A-86A1-B41270667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612912</xdr:colOff>
      <xdr:row>18</xdr:row>
      <xdr:rowOff>182217</xdr:rowOff>
    </xdr:from>
    <xdr:to>
      <xdr:col>7</xdr:col>
      <xdr:colOff>472107</xdr:colOff>
      <xdr:row>33</xdr:row>
      <xdr:rowOff>57978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D9C26F7-D56C-9933-386C-2DCF61D46CC0}"/>
            </a:ext>
          </a:extLst>
        </xdr:cNvPr>
        <xdr:cNvSpPr/>
      </xdr:nvSpPr>
      <xdr:spPr>
        <a:xfrm>
          <a:off x="612912" y="3611217"/>
          <a:ext cx="5135217" cy="3163957"/>
        </a:xfrm>
        <a:prstGeom prst="rect">
          <a:avLst/>
        </a:prstGeom>
        <a:ln w="31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74544</xdr:colOff>
      <xdr:row>19</xdr:row>
      <xdr:rowOff>124239</xdr:rowOff>
    </xdr:from>
    <xdr:to>
      <xdr:col>7</xdr:col>
      <xdr:colOff>381000</xdr:colOff>
      <xdr:row>32</xdr:row>
      <xdr:rowOff>157369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1AE8ABB-7DB6-025A-7D3C-0E78491DABFE}"/>
            </a:ext>
          </a:extLst>
        </xdr:cNvPr>
        <xdr:cNvSpPr txBox="1"/>
      </xdr:nvSpPr>
      <xdr:spPr>
        <a:xfrm>
          <a:off x="687457" y="3743739"/>
          <a:ext cx="4969565" cy="2940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MANAGEMENT INSIGHTS:</a:t>
          </a:r>
        </a:p>
        <a:p>
          <a:pPr lvl="0"/>
          <a:r>
            <a:rPr lang="en-IN" sz="1600" b="1"/>
            <a:t>1. Support</a:t>
          </a:r>
          <a:r>
            <a:rPr lang="en-IN" sz="1600"/>
            <a:t> has the strongest SLA compliance at </a:t>
          </a:r>
          <a:r>
            <a:rPr lang="en-IN" sz="1600" b="1"/>
            <a:t>94.44%</a:t>
          </a:r>
          <a:r>
            <a:rPr lang="en-IN" sz="1600"/>
            <a:t>.</a:t>
          </a:r>
        </a:p>
        <a:p>
          <a:pPr lvl="0"/>
          <a:endParaRPr lang="en-IN" sz="1600" b="1"/>
        </a:p>
        <a:p>
          <a:pPr lvl="0"/>
          <a:r>
            <a:rPr lang="en-IN" sz="1600" b="1"/>
            <a:t>2. Technical</a:t>
          </a:r>
          <a:r>
            <a:rPr lang="en-IN" sz="1600"/>
            <a:t> has lower SLA compliance at </a:t>
          </a:r>
          <a:r>
            <a:rPr lang="en-IN" sz="1600" b="1"/>
            <a:t>68.75%</a:t>
          </a:r>
          <a:r>
            <a:rPr lang="en-IN" sz="1600"/>
            <a:t> and accounts for </a:t>
          </a:r>
          <a:r>
            <a:rPr lang="en-IN" sz="1600" b="1"/>
            <a:t>5 of 6 SLA breaches</a:t>
          </a:r>
          <a:r>
            <a:rPr lang="en-IN" sz="1600"/>
            <a:t>.</a:t>
          </a:r>
        </a:p>
        <a:p>
          <a:pPr lvl="0"/>
          <a:endParaRPr lang="en-IN" sz="1600" b="1"/>
        </a:p>
        <a:p>
          <a:pPr lvl="0"/>
          <a:r>
            <a:rPr lang="en-IN" sz="1600" b="1"/>
            <a:t>3. </a:t>
          </a:r>
          <a:r>
            <a:rPr lang="en-IN" sz="1600"/>
            <a:t>Overall SLA compliance is </a:t>
          </a:r>
          <a:r>
            <a:rPr lang="en-IN" sz="1600" b="1"/>
            <a:t>82.35%</a:t>
          </a:r>
          <a:r>
            <a:rPr lang="en-IN" sz="1600"/>
            <a:t>, with </a:t>
          </a:r>
          <a:r>
            <a:rPr lang="en-IN" sz="1600" b="1"/>
            <a:t>1 ticket currently open</a:t>
          </a:r>
          <a:r>
            <a:rPr lang="en-IN" sz="1600"/>
            <a:t>.</a:t>
          </a:r>
        </a:p>
        <a:p>
          <a:pPr lvl="0"/>
          <a:endParaRPr lang="en-IN" sz="1600" b="1"/>
        </a:p>
        <a:p>
          <a:pPr lvl="0"/>
          <a:r>
            <a:rPr lang="en-IN" sz="1600" b="1"/>
            <a:t>4. </a:t>
          </a:r>
          <a:r>
            <a:rPr lang="en-IN" sz="1600"/>
            <a:t>Average TAT is broadly similar across teams (</a:t>
          </a:r>
          <a:r>
            <a:rPr lang="en-IN" sz="1600" b="1"/>
            <a:t>28 hrs Support vs 27 hrs Technical</a:t>
          </a:r>
          <a:r>
            <a:rPr lang="en-IN" sz="1600"/>
            <a:t>).</a:t>
          </a:r>
        </a:p>
        <a:p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A94149E-7DF1-4C2C-949E-6B665B46A637}" autoFormatId="16" applyNumberFormats="0" applyBorderFormats="0" applyFontFormats="0" applyPatternFormats="0" applyAlignmentFormats="0" applyWidthHeightFormats="0">
  <queryTableRefresh nextId="9">
    <queryTableFields count="8">
      <queryTableField id="1" name="Team" tableColumnId="1"/>
      <queryTableField id="2" name="Ticket Count" tableColumnId="2"/>
      <queryTableField id="3" name="Avg TAT Hours" tableColumnId="3"/>
      <queryTableField id="4" name="SLA Breaches" tableColumnId="4"/>
      <queryTableField id="5" name="Within SLA" tableColumnId="5"/>
      <queryTableField id="6" name="Open Tickets" tableColumnId="6"/>
      <queryTableField id="7" name="Avg Resolution Hours" tableColumnId="7"/>
      <queryTableField id="8" name="SLA Compliance %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6F4799C-A2E0-42CE-98BE-FDA88FC9F614}" autoFormatId="16" applyNumberFormats="0" applyBorderFormats="0" applyFontFormats="0" applyPatternFormats="0" applyAlignmentFormats="0" applyWidthHeightFormats="0">
  <queryTableRefresh nextId="3">
    <queryTableFields count="2">
      <queryTableField id="1" name="Priority" tableColumnId="1"/>
      <queryTableField id="2" name="SLA_Hour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880661-8A06-4851-BB2B-A7422A1A8A1D}" autoFormatId="16" applyNumberFormats="0" applyBorderFormats="0" applyFontFormats="0" applyPatternFormats="0" applyAlignmentFormats="0" applyWidthHeightFormats="0">
  <queryTableRefresh nextId="16">
    <queryTableFields count="15">
      <queryTableField id="1" name="Ticket_ID" tableColumnId="1"/>
      <queryTableField id="2" name="Agent" tableColumnId="2"/>
      <queryTableField id="3" name="Team" tableColumnId="3"/>
      <queryTableField id="4" name="Priority" tableColumnId="4"/>
      <queryTableField id="5" name="Opened_Date" tableColumnId="5"/>
      <queryTableField id="6" name="Closed_Date" tableColumnId="6"/>
      <queryTableField id="7" name="Status" tableColumnId="7"/>
      <queryTableField id="8" name="Resolution_Hours" tableColumnId="8"/>
      <queryTableField id="9" name="SLA_Hours" tableColumnId="9"/>
      <queryTableField id="10" name="TAT_Hours" tableColumnId="10"/>
      <queryTableField id="11" name="SLA_Status" tableColumnId="11"/>
      <queryTableField id="12" name="Ageing_Bucket" tableColumnId="12"/>
      <queryTableField id="13" name="SLA_Breach_Flag" tableColumnId="13"/>
      <queryTableField id="14" name="Within_SLA_Flag" tableColumnId="14"/>
      <queryTableField id="15" name="Open_Flag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6BFC07A-EAFB-4ADD-8BEB-D49DB706AD94}" autoFormatId="16" applyNumberFormats="0" applyBorderFormats="0" applyFontFormats="0" applyPatternFormats="0" applyAlignmentFormats="0" applyWidthHeightFormats="0">
  <queryTableRefresh nextId="9">
    <queryTableFields count="8">
      <queryTableField id="1" name="Ticket_ID" tableColumnId="1"/>
      <queryTableField id="2" name="Agent" tableColumnId="2"/>
      <queryTableField id="3" name="Team" tableColumnId="3"/>
      <queryTableField id="4" name="Priority" tableColumnId="4"/>
      <queryTableField id="5" name="Opened_Date" tableColumnId="5"/>
      <queryTableField id="6" name="Closed_Date" tableColumnId="6"/>
      <queryTableField id="7" name="Status" tableColumnId="7"/>
      <queryTableField id="8" name="Resolution_Hour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CAF12A-4400-4CA0-8555-F721E4AD7DF7}" name="Management_Summary" displayName="Management_Summary" ref="A1:H3" tableType="queryTable" totalsRowShown="0">
  <autoFilter ref="A1:H3" xr:uid="{16CAF12A-4400-4CA0-8555-F721E4AD7DF7}"/>
  <tableColumns count="8">
    <tableColumn id="1" xr3:uid="{E51EA73F-21C0-47D8-842B-6BE0776F1D3F}" uniqueName="1" name="Team" queryTableFieldId="1" dataDxfId="16"/>
    <tableColumn id="2" xr3:uid="{DE1F77D7-905F-431F-883A-09A8ABEEC674}" uniqueName="2" name="Ticket Count" queryTableFieldId="2"/>
    <tableColumn id="3" xr3:uid="{05E20CB6-9CF4-4946-97D0-2686FE5405B7}" uniqueName="3" name="Avg TAT Hours" queryTableFieldId="3"/>
    <tableColumn id="4" xr3:uid="{6B8A779C-41FC-4C2F-B5FA-72CA4307AE27}" uniqueName="4" name="SLA Breaches" queryTableFieldId="4"/>
    <tableColumn id="5" xr3:uid="{F6BCF9E6-43FD-4CC7-B8EE-96B20B373609}" uniqueName="5" name="Within SLA" queryTableFieldId="5"/>
    <tableColumn id="6" xr3:uid="{EC0A921A-434D-42D5-AA78-D61DF6F45631}" uniqueName="6" name="Open Tickets" queryTableFieldId="6"/>
    <tableColumn id="7" xr3:uid="{7D851D39-C0EB-4AB0-966A-EB2661120B2A}" uniqueName="7" name="Avg Resolution Hours" queryTableFieldId="7"/>
    <tableColumn id="8" xr3:uid="{8FCEDBB9-A2F6-4C85-884D-7FFC63BA5185}" uniqueName="8" name="SLA Compliance %" queryTableFieldId="8" dataDxfId="0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62E0E-DB3C-4E5C-885F-5758B01091F1}" name="SLA_Rules" displayName="SLA_Rules" ref="A1:B5" tableType="queryTable" totalsRowShown="0">
  <autoFilter ref="A1:B5" xr:uid="{8F762E0E-DB3C-4E5C-885F-5758B01091F1}"/>
  <tableColumns count="2">
    <tableColumn id="1" xr3:uid="{D3163538-514B-4306-AE12-AECBBACE9A9B}" uniqueName="1" name="Priority" queryTableFieldId="1" dataDxfId="15"/>
    <tableColumn id="2" xr3:uid="{18A60144-1BF6-44AF-A411-D1C2AADEF470}" uniqueName="2" name="SLA_Hour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2419A5-4D88-4DDB-983A-7223FF5F7FA5}" name="Cleaned_Tickets" displayName="Cleaned_Tickets" ref="A1:O36" tableType="queryTable" totalsRowShown="0">
  <autoFilter ref="A1:O36" xr:uid="{612419A5-4D88-4DDB-983A-7223FF5F7FA5}"/>
  <tableColumns count="15">
    <tableColumn id="1" xr3:uid="{F7000DC1-9D28-48AF-BB68-AB3FCD56B7B6}" uniqueName="1" name="Ticket_ID" queryTableFieldId="1" dataDxfId="14"/>
    <tableColumn id="2" xr3:uid="{3D9C49DE-F408-4E0A-9AC0-801425B06B1E}" uniqueName="2" name="Agent" queryTableFieldId="2" dataDxfId="13"/>
    <tableColumn id="3" xr3:uid="{B6C95ABA-F46A-4825-BB0E-E0B90742D38E}" uniqueName="3" name="Team" queryTableFieldId="3" dataDxfId="12"/>
    <tableColumn id="4" xr3:uid="{31BA7E35-DF78-4C0D-AD14-D4F394348991}" uniqueName="4" name="Priority" queryTableFieldId="4" dataDxfId="11"/>
    <tableColumn id="5" xr3:uid="{69F11525-33A1-4D13-BDCA-5CCE2843B8C6}" uniqueName="5" name="Opened_Date" queryTableFieldId="5" dataDxfId="10"/>
    <tableColumn id="6" xr3:uid="{4A89387D-FB6E-42B6-8932-9CA959F8924B}" uniqueName="6" name="Closed_Date" queryTableFieldId="6" dataDxfId="9"/>
    <tableColumn id="7" xr3:uid="{E91141B9-A509-4DAA-AC5A-A0EFD462701F}" uniqueName="7" name="Status" queryTableFieldId="7" dataDxfId="8"/>
    <tableColumn id="8" xr3:uid="{8167A82B-FA27-43E4-B24E-2DDF0842CA25}" uniqueName="8" name="Resolution_Hours" queryTableFieldId="8"/>
    <tableColumn id="9" xr3:uid="{AEEBF8B4-453E-4811-A73D-D3029CDE8372}" uniqueName="9" name="SLA_Hours" queryTableFieldId="9"/>
    <tableColumn id="10" xr3:uid="{E563046A-28E7-41D8-A389-64A5DFCF153B}" uniqueName="10" name="TAT_Hours" queryTableFieldId="10"/>
    <tableColumn id="11" xr3:uid="{16554365-AB0B-4A12-8896-7E28EAAB5A07}" uniqueName="11" name="SLA_Status" queryTableFieldId="11"/>
    <tableColumn id="12" xr3:uid="{700E6A2D-7FD9-4B09-9497-39FE8E07808F}" uniqueName="12" name="Ageing_Bucket" queryTableFieldId="12"/>
    <tableColumn id="13" xr3:uid="{A110B8A7-C0E5-4234-BFE3-13E583F90654}" uniqueName="13" name="SLA_Breach_Flag" queryTableFieldId="13"/>
    <tableColumn id="14" xr3:uid="{A1290254-71D1-4942-8846-D6042F0D2065}" uniqueName="14" name="Within_SLA_Flag" queryTableFieldId="14"/>
    <tableColumn id="15" xr3:uid="{98DF3C97-A3F3-42E9-A121-447FD4989B51}" uniqueName="15" name="Open_Flag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74CE9-3794-4DDF-BD4E-4B82A993C4BC}" name="Raw_Tickets" displayName="Raw_Tickets" ref="A1:H36" tableType="queryTable" totalsRowShown="0">
  <autoFilter ref="A1:H36" xr:uid="{55774CE9-3794-4DDF-BD4E-4B82A993C4BC}"/>
  <tableColumns count="8">
    <tableColumn id="1" xr3:uid="{CFADB1C2-BBBE-4AE2-A2BD-2894C69D9547}" uniqueName="1" name="Ticket_ID" queryTableFieldId="1" dataDxfId="7"/>
    <tableColumn id="2" xr3:uid="{8F8DDF40-4B61-4BC7-A4C8-9B64A9BC7279}" uniqueName="2" name="Agent" queryTableFieldId="2" dataDxfId="6"/>
    <tableColumn id="3" xr3:uid="{865363B3-3F0E-4FF2-837F-742DCE24BC1B}" uniqueName="3" name="Team" queryTableFieldId="3" dataDxfId="5"/>
    <tableColumn id="4" xr3:uid="{AC14755F-0CBF-40F8-A751-E9D4EC46BED5}" uniqueName="4" name="Priority" queryTableFieldId="4" dataDxfId="4"/>
    <tableColumn id="5" xr3:uid="{CE0E982F-CA22-4C5D-956C-826D14D9A80C}" uniqueName="5" name="Opened_Date" queryTableFieldId="5" dataDxfId="3"/>
    <tableColumn id="6" xr3:uid="{220C8DCB-0E85-4BB2-952F-6A8A95C5B579}" uniqueName="6" name="Closed_Date" queryTableFieldId="6" dataDxfId="2"/>
    <tableColumn id="7" xr3:uid="{728CFB66-5751-4691-B39B-6A25BE469480}" uniqueName="7" name="Status" queryTableFieldId="7" dataDxfId="1"/>
    <tableColumn id="8" xr3:uid="{AAF39DCD-DEB5-40EB-B8B9-0C4235B0BECC}" uniqueName="8" name="Resolution_Hour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8247-E5B8-4737-963C-E6FDB242E03F}">
  <sheetPr>
    <pageSetUpPr fitToPage="1"/>
  </sheetPr>
  <dimension ref="B1:N35"/>
  <sheetViews>
    <sheetView showGridLines="0" tabSelected="1" zoomScale="115" zoomScaleNormal="115" workbookViewId="0">
      <selection activeCell="B4" sqref="B4:N4"/>
    </sheetView>
  </sheetViews>
  <sheetFormatPr defaultRowHeight="15" x14ac:dyDescent="0.25"/>
  <cols>
    <col min="2" max="2" width="20.5703125" bestFit="1" customWidth="1"/>
    <col min="5" max="5" width="12.5703125" bestFit="1" customWidth="1"/>
    <col min="8" max="8" width="15.140625" bestFit="1" customWidth="1"/>
    <col min="11" max="11" width="12.5703125" bestFit="1" customWidth="1"/>
    <col min="14" max="14" width="12.42578125" bestFit="1" customWidth="1"/>
  </cols>
  <sheetData>
    <row r="1" spans="2:14" x14ac:dyDescent="0.25">
      <c r="B1" s="7" t="s">
        <v>103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4" x14ac:dyDescent="0.25">
      <c r="B2" s="8" t="s">
        <v>104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x14ac:dyDescent="0.25">
      <c r="B3" s="9" t="s">
        <v>100</v>
      </c>
      <c r="C3" s="9"/>
      <c r="D3" s="9"/>
      <c r="E3" s="9" t="s">
        <v>101</v>
      </c>
      <c r="F3" s="9"/>
      <c r="G3" s="9"/>
      <c r="H3" s="9" t="s">
        <v>102</v>
      </c>
      <c r="I3" s="9"/>
      <c r="J3" s="9"/>
      <c r="K3" s="9" t="s">
        <v>96</v>
      </c>
      <c r="L3" s="9"/>
      <c r="M3" s="9"/>
      <c r="N3" s="10" t="s">
        <v>97</v>
      </c>
    </row>
    <row r="4" spans="2:14" x14ac:dyDescent="0.25">
      <c r="B4" s="11">
        <f>ROWS(Cleaned_Tickets[[#All],[Ticket_ID]])-1</f>
        <v>35</v>
      </c>
      <c r="C4" s="11"/>
      <c r="D4" s="11"/>
      <c r="E4" s="12">
        <f>AVERAGE(Cleaned_Tickets[TAT_Hours])</f>
        <v>27.529411764705884</v>
      </c>
      <c r="F4" s="12"/>
      <c r="G4" s="12"/>
      <c r="H4" s="13">
        <f>COUNTIF(Cleaned_Tickets[SLA_Status],"Within SLA")/(COUNTIF(Cleaned_Tickets[SLA_Status],"Within SLA")+COUNTIF(Cleaned_Tickets[SLA_Status],"SLA Breached"))</f>
        <v>0.82352941176470584</v>
      </c>
      <c r="I4" s="13"/>
      <c r="J4" s="13"/>
      <c r="K4" s="11">
        <f>COUNTIF(Cleaned_Tickets[SLA_Status],"SLA Breached")</f>
        <v>6</v>
      </c>
      <c r="L4" s="11"/>
      <c r="M4" s="11"/>
      <c r="N4" s="14">
        <f>COUNTIF(Cleaned_Tickets[SLA_Status],"Open")</f>
        <v>1</v>
      </c>
    </row>
    <row r="5" spans="2:14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2:14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2:14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4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2:14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2:14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2:14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2:14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2:14" ht="23.25" x14ac:dyDescent="0.35">
      <c r="B21" s="5" t="s">
        <v>105</v>
      </c>
      <c r="C21" s="5" t="s">
        <v>106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4" ht="23.25" x14ac:dyDescent="0.35">
      <c r="B22" s="6" t="s">
        <v>88</v>
      </c>
      <c r="C22" s="6">
        <f>COUNTIF(Cleaned_Tickets[SLA_Status],"Within SLA")</f>
        <v>28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2:14" ht="23.25" x14ac:dyDescent="0.35">
      <c r="B23" s="6" t="s">
        <v>92</v>
      </c>
      <c r="C23" s="6">
        <f>COUNTIF(Cleaned_Tickets[SLA_Status],"SLA Breached")</f>
        <v>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2:14" ht="23.25" x14ac:dyDescent="0.35">
      <c r="B24" s="6" t="s">
        <v>36</v>
      </c>
      <c r="C24" s="6">
        <f>COUNTIF(Cleaned_Tickets[SLA_Status],"Open")</f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2:14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14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2:14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14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14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2:14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2:14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14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</sheetData>
  <mergeCells count="10">
    <mergeCell ref="B2:N2"/>
    <mergeCell ref="B1:N1"/>
    <mergeCell ref="B3:D3"/>
    <mergeCell ref="E3:G3"/>
    <mergeCell ref="B4:D4"/>
    <mergeCell ref="H3:J3"/>
    <mergeCell ref="K3:M3"/>
    <mergeCell ref="E4:G4"/>
    <mergeCell ref="H4:J4"/>
    <mergeCell ref="K4:M4"/>
  </mergeCells>
  <pageMargins left="0.25" right="0.25" top="0.75" bottom="0.75" header="0.3" footer="0.3"/>
  <pageSetup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499F-F2F5-487B-893C-A9CECD2824E7}">
  <dimension ref="A1:H3"/>
  <sheetViews>
    <sheetView workbookViewId="0">
      <selection activeCell="C1" activeCellId="1" sqref="A1:A3 C1:C3"/>
    </sheetView>
  </sheetViews>
  <sheetFormatPr defaultRowHeight="15" x14ac:dyDescent="0.25"/>
  <cols>
    <col min="1" max="1" width="9.28515625" bestFit="1" customWidth="1"/>
    <col min="2" max="2" width="14.28515625" bestFit="1" customWidth="1"/>
    <col min="3" max="3" width="16" bestFit="1" customWidth="1"/>
    <col min="4" max="4" width="14.85546875" bestFit="1" customWidth="1"/>
    <col min="5" max="5" width="13" bestFit="1" customWidth="1"/>
    <col min="6" max="6" width="14.7109375" bestFit="1" customWidth="1"/>
    <col min="7" max="7" width="22.42578125" bestFit="1" customWidth="1"/>
    <col min="8" max="8" width="19.5703125" bestFit="1" customWidth="1"/>
  </cols>
  <sheetData>
    <row r="1" spans="1:8" x14ac:dyDescent="0.25">
      <c r="A1" t="s">
        <v>2</v>
      </c>
      <c r="B1" t="s">
        <v>94</v>
      </c>
      <c r="C1" t="s">
        <v>95</v>
      </c>
      <c r="D1" t="s">
        <v>96</v>
      </c>
      <c r="E1" t="s">
        <v>88</v>
      </c>
      <c r="F1" t="s">
        <v>97</v>
      </c>
      <c r="G1" t="s">
        <v>98</v>
      </c>
      <c r="H1" t="s">
        <v>99</v>
      </c>
    </row>
    <row r="2" spans="1:8" x14ac:dyDescent="0.25">
      <c r="A2" t="s">
        <v>10</v>
      </c>
      <c r="B2">
        <v>19</v>
      </c>
      <c r="C2">
        <v>28</v>
      </c>
      <c r="D2">
        <v>1</v>
      </c>
      <c r="E2">
        <v>17</v>
      </c>
      <c r="F2">
        <v>1</v>
      </c>
      <c r="G2">
        <v>25.555555555555557</v>
      </c>
      <c r="H2" s="3">
        <v>0.94444444444444442</v>
      </c>
    </row>
    <row r="3" spans="1:8" x14ac:dyDescent="0.25">
      <c r="A3" t="s">
        <v>18</v>
      </c>
      <c r="B3">
        <v>16</v>
      </c>
      <c r="C3">
        <v>27</v>
      </c>
      <c r="D3">
        <v>5</v>
      </c>
      <c r="E3">
        <v>11</v>
      </c>
      <c r="F3">
        <v>0</v>
      </c>
      <c r="G3">
        <v>26.4375</v>
      </c>
      <c r="H3" s="3">
        <v>0.6875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B2C9-D15C-47E2-9BD9-29B80F1B7527}">
  <dimension ref="A1:B5"/>
  <sheetViews>
    <sheetView workbookViewId="0"/>
  </sheetViews>
  <sheetFormatPr defaultRowHeight="15" x14ac:dyDescent="0.25"/>
  <cols>
    <col min="1" max="1" width="9.85546875" bestFit="1" customWidth="1"/>
    <col min="2" max="2" width="12.5703125" bestFit="1" customWidth="1"/>
  </cols>
  <sheetData>
    <row r="1" spans="1:2" x14ac:dyDescent="0.25">
      <c r="A1" t="s">
        <v>3</v>
      </c>
      <c r="B1" t="s">
        <v>81</v>
      </c>
    </row>
    <row r="2" spans="1:2" x14ac:dyDescent="0.25">
      <c r="A2" t="s">
        <v>21</v>
      </c>
      <c r="B2">
        <v>8</v>
      </c>
    </row>
    <row r="3" spans="1:2" x14ac:dyDescent="0.25">
      <c r="A3" t="s">
        <v>11</v>
      </c>
      <c r="B3">
        <v>24</v>
      </c>
    </row>
    <row r="4" spans="1:2" x14ac:dyDescent="0.25">
      <c r="A4" t="s">
        <v>15</v>
      </c>
      <c r="B4">
        <v>36</v>
      </c>
    </row>
    <row r="5" spans="1:2" x14ac:dyDescent="0.25">
      <c r="A5" t="s">
        <v>24</v>
      </c>
      <c r="B5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2A6D-77FD-45E7-BED3-FC2F4B15DB7A}">
  <dimension ref="A1:O36"/>
  <sheetViews>
    <sheetView topLeftCell="A16" workbookViewId="0"/>
  </sheetViews>
  <sheetFormatPr defaultRowHeight="15" x14ac:dyDescent="0.25"/>
  <cols>
    <col min="1" max="1" width="11.42578125" bestFit="1" customWidth="1"/>
    <col min="2" max="2" width="14.42578125" bestFit="1" customWidth="1"/>
    <col min="3" max="3" width="9.28515625" bestFit="1" customWidth="1"/>
    <col min="4" max="4" width="9.85546875" bestFit="1" customWidth="1"/>
    <col min="5" max="5" width="15.7109375" bestFit="1" customWidth="1"/>
    <col min="6" max="6" width="14.42578125" bestFit="1" customWidth="1"/>
    <col min="7" max="7" width="8.7109375" bestFit="1" customWidth="1"/>
    <col min="8" max="8" width="19.140625" bestFit="1" customWidth="1"/>
    <col min="9" max="9" width="12.5703125" bestFit="1" customWidth="1"/>
    <col min="10" max="10" width="12.7109375" bestFit="1" customWidth="1"/>
    <col min="11" max="11" width="12.85546875" bestFit="1" customWidth="1"/>
    <col min="12" max="12" width="16.5703125" bestFit="1" customWidth="1"/>
    <col min="13" max="13" width="18.140625" bestFit="1" customWidth="1"/>
    <col min="14" max="14" width="18.28515625" bestFit="1" customWidth="1"/>
    <col min="15" max="15" width="12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</row>
    <row r="2" spans="1:15" x14ac:dyDescent="0.25">
      <c r="A2" t="s">
        <v>8</v>
      </c>
      <c r="B2" t="s">
        <v>9</v>
      </c>
      <c r="C2" t="s">
        <v>10</v>
      </c>
      <c r="D2" t="s">
        <v>11</v>
      </c>
      <c r="E2" s="1">
        <v>46266</v>
      </c>
      <c r="F2" s="1">
        <v>46266</v>
      </c>
      <c r="G2" t="s">
        <v>12</v>
      </c>
      <c r="H2">
        <v>6</v>
      </c>
      <c r="I2">
        <v>24</v>
      </c>
      <c r="J2">
        <v>0</v>
      </c>
      <c r="K2" t="s">
        <v>88</v>
      </c>
      <c r="L2" t="s">
        <v>89</v>
      </c>
      <c r="M2">
        <v>0</v>
      </c>
      <c r="N2">
        <v>1</v>
      </c>
      <c r="O2">
        <v>0</v>
      </c>
    </row>
    <row r="3" spans="1:15" x14ac:dyDescent="0.25">
      <c r="A3" t="s">
        <v>16</v>
      </c>
      <c r="B3" t="s">
        <v>17</v>
      </c>
      <c r="C3" t="s">
        <v>18</v>
      </c>
      <c r="D3" t="s">
        <v>11</v>
      </c>
      <c r="E3" s="1">
        <v>46266</v>
      </c>
      <c r="F3" s="1">
        <v>46267</v>
      </c>
      <c r="G3" t="s">
        <v>12</v>
      </c>
      <c r="H3">
        <v>18</v>
      </c>
      <c r="I3">
        <v>24</v>
      </c>
      <c r="J3">
        <v>24</v>
      </c>
      <c r="K3" t="s">
        <v>88</v>
      </c>
      <c r="L3" t="s">
        <v>90</v>
      </c>
      <c r="M3">
        <v>0</v>
      </c>
      <c r="N3">
        <v>1</v>
      </c>
      <c r="O3">
        <v>0</v>
      </c>
    </row>
    <row r="4" spans="1:15" x14ac:dyDescent="0.25">
      <c r="A4" t="s">
        <v>19</v>
      </c>
      <c r="B4" t="s">
        <v>20</v>
      </c>
      <c r="C4" t="s">
        <v>18</v>
      </c>
      <c r="D4" t="s">
        <v>21</v>
      </c>
      <c r="E4" s="1">
        <v>46266</v>
      </c>
      <c r="F4" s="1">
        <v>46266</v>
      </c>
      <c r="G4" t="s">
        <v>12</v>
      </c>
      <c r="H4">
        <v>3</v>
      </c>
      <c r="I4">
        <v>8</v>
      </c>
      <c r="J4">
        <v>0</v>
      </c>
      <c r="K4" t="s">
        <v>88</v>
      </c>
      <c r="L4" t="s">
        <v>89</v>
      </c>
      <c r="M4">
        <v>0</v>
      </c>
      <c r="N4">
        <v>1</v>
      </c>
      <c r="O4">
        <v>0</v>
      </c>
    </row>
    <row r="5" spans="1:15" x14ac:dyDescent="0.25">
      <c r="A5" t="s">
        <v>13</v>
      </c>
      <c r="B5" t="s">
        <v>14</v>
      </c>
      <c r="C5" t="s">
        <v>10</v>
      </c>
      <c r="D5" t="s">
        <v>15</v>
      </c>
      <c r="E5" s="1">
        <v>46266</v>
      </c>
      <c r="F5" s="1">
        <v>46267</v>
      </c>
      <c r="G5" t="s">
        <v>12</v>
      </c>
      <c r="H5">
        <v>22</v>
      </c>
      <c r="I5">
        <v>36</v>
      </c>
      <c r="J5">
        <v>24</v>
      </c>
      <c r="K5" t="s">
        <v>88</v>
      </c>
      <c r="L5" t="s">
        <v>90</v>
      </c>
      <c r="M5">
        <v>0</v>
      </c>
      <c r="N5">
        <v>1</v>
      </c>
      <c r="O5">
        <v>0</v>
      </c>
    </row>
    <row r="6" spans="1:15" x14ac:dyDescent="0.25">
      <c r="A6" t="s">
        <v>22</v>
      </c>
      <c r="B6" t="s">
        <v>23</v>
      </c>
      <c r="C6" t="s">
        <v>10</v>
      </c>
      <c r="D6" t="s">
        <v>24</v>
      </c>
      <c r="E6" s="1">
        <v>46267</v>
      </c>
      <c r="F6" s="1">
        <v>46269</v>
      </c>
      <c r="G6" t="s">
        <v>12</v>
      </c>
      <c r="H6">
        <v>46</v>
      </c>
      <c r="I6">
        <v>48</v>
      </c>
      <c r="J6">
        <v>48</v>
      </c>
      <c r="K6" t="s">
        <v>88</v>
      </c>
      <c r="L6" t="s">
        <v>91</v>
      </c>
      <c r="M6">
        <v>0</v>
      </c>
      <c r="N6">
        <v>1</v>
      </c>
      <c r="O6">
        <v>0</v>
      </c>
    </row>
    <row r="7" spans="1:15" x14ac:dyDescent="0.25">
      <c r="A7" t="s">
        <v>25</v>
      </c>
      <c r="B7" t="s">
        <v>26</v>
      </c>
      <c r="C7" t="s">
        <v>10</v>
      </c>
      <c r="D7" t="s">
        <v>15</v>
      </c>
      <c r="E7" s="1">
        <v>46267</v>
      </c>
      <c r="F7" s="1">
        <v>46268</v>
      </c>
      <c r="G7" t="s">
        <v>12</v>
      </c>
      <c r="H7">
        <v>20</v>
      </c>
      <c r="I7">
        <v>36</v>
      </c>
      <c r="J7">
        <v>24</v>
      </c>
      <c r="K7" t="s">
        <v>88</v>
      </c>
      <c r="L7" t="s">
        <v>90</v>
      </c>
      <c r="M7">
        <v>0</v>
      </c>
      <c r="N7">
        <v>1</v>
      </c>
      <c r="O7">
        <v>0</v>
      </c>
    </row>
    <row r="8" spans="1:15" x14ac:dyDescent="0.25">
      <c r="A8" t="s">
        <v>27</v>
      </c>
      <c r="B8" t="s">
        <v>28</v>
      </c>
      <c r="C8" t="s">
        <v>18</v>
      </c>
      <c r="D8" t="s">
        <v>11</v>
      </c>
      <c r="E8" s="1">
        <v>46267</v>
      </c>
      <c r="F8" s="1">
        <v>46268</v>
      </c>
      <c r="G8" t="s">
        <v>12</v>
      </c>
      <c r="H8">
        <v>27</v>
      </c>
      <c r="I8">
        <v>24</v>
      </c>
      <c r="J8">
        <v>24</v>
      </c>
      <c r="K8" t="s">
        <v>88</v>
      </c>
      <c r="L8" t="s">
        <v>90</v>
      </c>
      <c r="M8">
        <v>0</v>
      </c>
      <c r="N8">
        <v>1</v>
      </c>
      <c r="O8">
        <v>0</v>
      </c>
    </row>
    <row r="9" spans="1:15" x14ac:dyDescent="0.25">
      <c r="A9" t="s">
        <v>29</v>
      </c>
      <c r="B9" t="s">
        <v>30</v>
      </c>
      <c r="C9" t="s">
        <v>18</v>
      </c>
      <c r="D9" t="s">
        <v>15</v>
      </c>
      <c r="E9" s="1">
        <v>46268</v>
      </c>
      <c r="F9" s="1">
        <v>46269</v>
      </c>
      <c r="G9" t="s">
        <v>12</v>
      </c>
      <c r="H9">
        <v>19</v>
      </c>
      <c r="I9">
        <v>36</v>
      </c>
      <c r="J9">
        <v>24</v>
      </c>
      <c r="K9" t="s">
        <v>88</v>
      </c>
      <c r="L9" t="s">
        <v>90</v>
      </c>
      <c r="M9">
        <v>0</v>
      </c>
      <c r="N9">
        <v>1</v>
      </c>
      <c r="O9">
        <v>0</v>
      </c>
    </row>
    <row r="10" spans="1:15" x14ac:dyDescent="0.25">
      <c r="A10" t="s">
        <v>31</v>
      </c>
      <c r="B10" t="s">
        <v>32</v>
      </c>
      <c r="C10" t="s">
        <v>10</v>
      </c>
      <c r="D10" t="s">
        <v>11</v>
      </c>
      <c r="E10" s="1">
        <v>46268</v>
      </c>
      <c r="F10" s="1">
        <v>46269</v>
      </c>
      <c r="G10" t="s">
        <v>12</v>
      </c>
      <c r="H10">
        <v>21</v>
      </c>
      <c r="I10">
        <v>24</v>
      </c>
      <c r="J10">
        <v>24</v>
      </c>
      <c r="K10" t="s">
        <v>88</v>
      </c>
      <c r="L10" t="s">
        <v>90</v>
      </c>
      <c r="M10">
        <v>0</v>
      </c>
      <c r="N10">
        <v>1</v>
      </c>
      <c r="O10">
        <v>0</v>
      </c>
    </row>
    <row r="11" spans="1:15" x14ac:dyDescent="0.25">
      <c r="A11" t="s">
        <v>34</v>
      </c>
      <c r="B11" t="s">
        <v>35</v>
      </c>
      <c r="C11" t="s">
        <v>10</v>
      </c>
      <c r="D11" t="s">
        <v>24</v>
      </c>
      <c r="E11" s="1">
        <v>46268</v>
      </c>
      <c r="F11" s="1"/>
      <c r="G11" t="s">
        <v>36</v>
      </c>
      <c r="I11">
        <v>48</v>
      </c>
      <c r="K11" t="s">
        <v>36</v>
      </c>
      <c r="L11" t="s">
        <v>36</v>
      </c>
      <c r="M11">
        <v>0</v>
      </c>
      <c r="N11">
        <v>0</v>
      </c>
      <c r="O11">
        <v>1</v>
      </c>
    </row>
    <row r="12" spans="1:15" x14ac:dyDescent="0.25">
      <c r="A12" t="s">
        <v>37</v>
      </c>
      <c r="B12" t="s">
        <v>38</v>
      </c>
      <c r="C12" t="s">
        <v>18</v>
      </c>
      <c r="D12" t="s">
        <v>21</v>
      </c>
      <c r="E12" s="1">
        <v>46269</v>
      </c>
      <c r="F12" s="1">
        <v>46269</v>
      </c>
      <c r="G12" t="s">
        <v>12</v>
      </c>
      <c r="H12">
        <v>5</v>
      </c>
      <c r="I12">
        <v>8</v>
      </c>
      <c r="J12">
        <v>0</v>
      </c>
      <c r="K12" t="s">
        <v>88</v>
      </c>
      <c r="L12" t="s">
        <v>89</v>
      </c>
      <c r="M12">
        <v>0</v>
      </c>
      <c r="N12">
        <v>1</v>
      </c>
      <c r="O12">
        <v>0</v>
      </c>
    </row>
    <row r="13" spans="1:15" x14ac:dyDescent="0.25">
      <c r="A13" t="s">
        <v>39</v>
      </c>
      <c r="B13" t="s">
        <v>40</v>
      </c>
      <c r="C13" t="s">
        <v>10</v>
      </c>
      <c r="D13" t="s">
        <v>15</v>
      </c>
      <c r="E13" s="1">
        <v>46269</v>
      </c>
      <c r="F13" s="1">
        <v>46271</v>
      </c>
      <c r="G13" t="s">
        <v>12</v>
      </c>
      <c r="H13">
        <v>43</v>
      </c>
      <c r="I13">
        <v>36</v>
      </c>
      <c r="J13">
        <v>48</v>
      </c>
      <c r="K13" t="s">
        <v>92</v>
      </c>
      <c r="L13" t="s">
        <v>91</v>
      </c>
      <c r="M13">
        <v>1</v>
      </c>
      <c r="N13">
        <v>0</v>
      </c>
      <c r="O13">
        <v>0</v>
      </c>
    </row>
    <row r="14" spans="1:15" x14ac:dyDescent="0.25">
      <c r="A14" t="s">
        <v>41</v>
      </c>
      <c r="B14" t="s">
        <v>42</v>
      </c>
      <c r="C14" t="s">
        <v>18</v>
      </c>
      <c r="D14" t="s">
        <v>11</v>
      </c>
      <c r="E14" s="1">
        <v>46270</v>
      </c>
      <c r="F14" s="1">
        <v>46270</v>
      </c>
      <c r="G14" t="s">
        <v>12</v>
      </c>
      <c r="H14">
        <v>7</v>
      </c>
      <c r="I14">
        <v>24</v>
      </c>
      <c r="J14">
        <v>0</v>
      </c>
      <c r="K14" t="s">
        <v>88</v>
      </c>
      <c r="L14" t="s">
        <v>89</v>
      </c>
      <c r="M14">
        <v>0</v>
      </c>
      <c r="N14">
        <v>1</v>
      </c>
      <c r="O14">
        <v>0</v>
      </c>
    </row>
    <row r="15" spans="1:15" x14ac:dyDescent="0.25">
      <c r="A15" t="s">
        <v>43</v>
      </c>
      <c r="B15" t="s">
        <v>44</v>
      </c>
      <c r="C15" t="s">
        <v>10</v>
      </c>
      <c r="D15" t="s">
        <v>15</v>
      </c>
      <c r="E15" s="1">
        <v>46270</v>
      </c>
      <c r="F15" s="1">
        <v>46271</v>
      </c>
      <c r="G15" t="s">
        <v>12</v>
      </c>
      <c r="H15">
        <v>25</v>
      </c>
      <c r="I15">
        <v>36</v>
      </c>
      <c r="J15">
        <v>24</v>
      </c>
      <c r="K15" t="s">
        <v>88</v>
      </c>
      <c r="L15" t="s">
        <v>90</v>
      </c>
      <c r="M15">
        <v>0</v>
      </c>
      <c r="N15">
        <v>1</v>
      </c>
      <c r="O15">
        <v>0</v>
      </c>
    </row>
    <row r="16" spans="1:15" x14ac:dyDescent="0.25">
      <c r="A16" t="s">
        <v>45</v>
      </c>
      <c r="B16" t="s">
        <v>46</v>
      </c>
      <c r="C16" t="s">
        <v>18</v>
      </c>
      <c r="D16" t="s">
        <v>24</v>
      </c>
      <c r="E16" s="1">
        <v>46270</v>
      </c>
      <c r="F16" s="1">
        <v>46273</v>
      </c>
      <c r="G16" t="s">
        <v>12</v>
      </c>
      <c r="H16">
        <v>68</v>
      </c>
      <c r="I16">
        <v>48</v>
      </c>
      <c r="J16">
        <v>72</v>
      </c>
      <c r="K16" t="s">
        <v>92</v>
      </c>
      <c r="L16" t="s">
        <v>93</v>
      </c>
      <c r="M16">
        <v>1</v>
      </c>
      <c r="N16">
        <v>0</v>
      </c>
      <c r="O16">
        <v>0</v>
      </c>
    </row>
    <row r="17" spans="1:15" x14ac:dyDescent="0.25">
      <c r="A17" t="s">
        <v>47</v>
      </c>
      <c r="B17" t="s">
        <v>48</v>
      </c>
      <c r="C17" t="s">
        <v>10</v>
      </c>
      <c r="D17" t="s">
        <v>15</v>
      </c>
      <c r="E17" s="1">
        <v>46271</v>
      </c>
      <c r="F17" s="1">
        <v>46272</v>
      </c>
      <c r="G17" t="s">
        <v>12</v>
      </c>
      <c r="H17">
        <v>21</v>
      </c>
      <c r="I17">
        <v>36</v>
      </c>
      <c r="J17">
        <v>24</v>
      </c>
      <c r="K17" t="s">
        <v>88</v>
      </c>
      <c r="L17" t="s">
        <v>90</v>
      </c>
      <c r="M17">
        <v>0</v>
      </c>
      <c r="N17">
        <v>1</v>
      </c>
      <c r="O17">
        <v>0</v>
      </c>
    </row>
    <row r="18" spans="1:15" x14ac:dyDescent="0.25">
      <c r="A18" t="s">
        <v>50</v>
      </c>
      <c r="B18" t="s">
        <v>51</v>
      </c>
      <c r="C18" t="s">
        <v>18</v>
      </c>
      <c r="D18" t="s">
        <v>21</v>
      </c>
      <c r="E18" s="1">
        <v>46271</v>
      </c>
      <c r="F18" s="1">
        <v>46272</v>
      </c>
      <c r="G18" t="s">
        <v>12</v>
      </c>
      <c r="H18">
        <v>26</v>
      </c>
      <c r="I18">
        <v>8</v>
      </c>
      <c r="J18">
        <v>24</v>
      </c>
      <c r="K18" t="s">
        <v>92</v>
      </c>
      <c r="L18" t="s">
        <v>90</v>
      </c>
      <c r="M18">
        <v>1</v>
      </c>
      <c r="N18">
        <v>0</v>
      </c>
      <c r="O18">
        <v>0</v>
      </c>
    </row>
    <row r="19" spans="1:15" x14ac:dyDescent="0.25">
      <c r="A19" t="s">
        <v>52</v>
      </c>
      <c r="B19" t="s">
        <v>53</v>
      </c>
      <c r="C19" t="s">
        <v>10</v>
      </c>
      <c r="D19" t="s">
        <v>11</v>
      </c>
      <c r="E19" s="1">
        <v>46272</v>
      </c>
      <c r="F19" s="1">
        <v>46273</v>
      </c>
      <c r="G19" t="s">
        <v>12</v>
      </c>
      <c r="H19">
        <v>20</v>
      </c>
      <c r="I19">
        <v>24</v>
      </c>
      <c r="J19">
        <v>24</v>
      </c>
      <c r="K19" t="s">
        <v>88</v>
      </c>
      <c r="L19" t="s">
        <v>90</v>
      </c>
      <c r="M19">
        <v>0</v>
      </c>
      <c r="N19">
        <v>1</v>
      </c>
      <c r="O19">
        <v>0</v>
      </c>
    </row>
    <row r="20" spans="1:15" x14ac:dyDescent="0.25">
      <c r="A20" t="s">
        <v>54</v>
      </c>
      <c r="B20" t="s">
        <v>55</v>
      </c>
      <c r="C20" t="s">
        <v>18</v>
      </c>
      <c r="D20" t="s">
        <v>15</v>
      </c>
      <c r="E20" s="1">
        <v>46272</v>
      </c>
      <c r="F20" s="1">
        <v>46274</v>
      </c>
      <c r="G20" t="s">
        <v>12</v>
      </c>
      <c r="H20">
        <v>39</v>
      </c>
      <c r="I20">
        <v>36</v>
      </c>
      <c r="J20">
        <v>48</v>
      </c>
      <c r="K20" t="s">
        <v>92</v>
      </c>
      <c r="L20" t="s">
        <v>91</v>
      </c>
      <c r="M20">
        <v>1</v>
      </c>
      <c r="N20">
        <v>0</v>
      </c>
      <c r="O20">
        <v>0</v>
      </c>
    </row>
    <row r="21" spans="1:15" x14ac:dyDescent="0.25">
      <c r="A21" t="s">
        <v>56</v>
      </c>
      <c r="B21" t="s">
        <v>57</v>
      </c>
      <c r="C21" t="s">
        <v>10</v>
      </c>
      <c r="D21" t="s">
        <v>24</v>
      </c>
      <c r="E21" s="1">
        <v>46273</v>
      </c>
      <c r="F21" s="1">
        <v>46275</v>
      </c>
      <c r="G21" t="s">
        <v>12</v>
      </c>
      <c r="H21">
        <v>41</v>
      </c>
      <c r="I21">
        <v>48</v>
      </c>
      <c r="J21">
        <v>48</v>
      </c>
      <c r="K21" t="s">
        <v>88</v>
      </c>
      <c r="L21" t="s">
        <v>91</v>
      </c>
      <c r="M21">
        <v>0</v>
      </c>
      <c r="N21">
        <v>1</v>
      </c>
      <c r="O21">
        <v>0</v>
      </c>
    </row>
    <row r="22" spans="1:15" x14ac:dyDescent="0.25">
      <c r="A22" t="s">
        <v>58</v>
      </c>
      <c r="B22" t="s">
        <v>59</v>
      </c>
      <c r="C22" t="s">
        <v>18</v>
      </c>
      <c r="D22" t="s">
        <v>11</v>
      </c>
      <c r="E22" s="1">
        <v>46273</v>
      </c>
      <c r="F22" s="1">
        <v>46274</v>
      </c>
      <c r="G22" t="s">
        <v>12</v>
      </c>
      <c r="H22">
        <v>30</v>
      </c>
      <c r="I22">
        <v>24</v>
      </c>
      <c r="J22">
        <v>24</v>
      </c>
      <c r="K22" t="s">
        <v>88</v>
      </c>
      <c r="L22" t="s">
        <v>90</v>
      </c>
      <c r="M22">
        <v>0</v>
      </c>
      <c r="N22">
        <v>1</v>
      </c>
      <c r="O22">
        <v>0</v>
      </c>
    </row>
    <row r="23" spans="1:15" x14ac:dyDescent="0.25">
      <c r="A23" t="s">
        <v>60</v>
      </c>
      <c r="B23" t="s">
        <v>61</v>
      </c>
      <c r="C23" t="s">
        <v>10</v>
      </c>
      <c r="D23" t="s">
        <v>15</v>
      </c>
      <c r="E23" s="1">
        <v>46274</v>
      </c>
      <c r="F23" s="1">
        <v>46275</v>
      </c>
      <c r="G23" t="s">
        <v>12</v>
      </c>
      <c r="H23">
        <v>18</v>
      </c>
      <c r="I23">
        <v>36</v>
      </c>
      <c r="J23">
        <v>24</v>
      </c>
      <c r="K23" t="s">
        <v>88</v>
      </c>
      <c r="L23" t="s">
        <v>90</v>
      </c>
      <c r="M23">
        <v>0</v>
      </c>
      <c r="N23">
        <v>1</v>
      </c>
      <c r="O23">
        <v>0</v>
      </c>
    </row>
    <row r="24" spans="1:15" x14ac:dyDescent="0.25">
      <c r="A24" t="s">
        <v>62</v>
      </c>
      <c r="B24" t="s">
        <v>63</v>
      </c>
      <c r="C24" t="s">
        <v>18</v>
      </c>
      <c r="D24" t="s">
        <v>21</v>
      </c>
      <c r="E24" s="1">
        <v>46274</v>
      </c>
      <c r="F24" s="1">
        <v>46274</v>
      </c>
      <c r="G24" t="s">
        <v>12</v>
      </c>
      <c r="H24">
        <v>4</v>
      </c>
      <c r="I24">
        <v>8</v>
      </c>
      <c r="J24">
        <v>0</v>
      </c>
      <c r="K24" t="s">
        <v>88</v>
      </c>
      <c r="L24" t="s">
        <v>89</v>
      </c>
      <c r="M24">
        <v>0</v>
      </c>
      <c r="N24">
        <v>1</v>
      </c>
      <c r="O24">
        <v>0</v>
      </c>
    </row>
    <row r="25" spans="1:15" x14ac:dyDescent="0.25">
      <c r="A25" t="s">
        <v>64</v>
      </c>
      <c r="B25" t="s">
        <v>65</v>
      </c>
      <c r="C25" t="s">
        <v>10</v>
      </c>
      <c r="D25" t="s">
        <v>24</v>
      </c>
      <c r="E25" s="1">
        <v>46275</v>
      </c>
      <c r="F25" s="1">
        <v>46277</v>
      </c>
      <c r="G25" t="s">
        <v>12</v>
      </c>
      <c r="H25">
        <v>38</v>
      </c>
      <c r="I25">
        <v>48</v>
      </c>
      <c r="J25">
        <v>48</v>
      </c>
      <c r="K25" t="s">
        <v>88</v>
      </c>
      <c r="L25" t="s">
        <v>91</v>
      </c>
      <c r="M25">
        <v>0</v>
      </c>
      <c r="N25">
        <v>1</v>
      </c>
      <c r="O25">
        <v>0</v>
      </c>
    </row>
    <row r="26" spans="1:15" x14ac:dyDescent="0.25">
      <c r="A26" t="s">
        <v>66</v>
      </c>
      <c r="B26" t="s">
        <v>67</v>
      </c>
      <c r="C26" t="s">
        <v>18</v>
      </c>
      <c r="D26" t="s">
        <v>11</v>
      </c>
      <c r="E26" s="1">
        <v>46275</v>
      </c>
      <c r="F26" s="1">
        <v>46276</v>
      </c>
      <c r="G26" t="s">
        <v>12</v>
      </c>
      <c r="H26">
        <v>23</v>
      </c>
      <c r="I26">
        <v>24</v>
      </c>
      <c r="J26">
        <v>24</v>
      </c>
      <c r="K26" t="s">
        <v>88</v>
      </c>
      <c r="L26" t="s">
        <v>90</v>
      </c>
      <c r="M26">
        <v>0</v>
      </c>
      <c r="N26">
        <v>1</v>
      </c>
      <c r="O26">
        <v>0</v>
      </c>
    </row>
    <row r="27" spans="1:15" x14ac:dyDescent="0.25">
      <c r="A27" t="s">
        <v>68</v>
      </c>
      <c r="B27" t="s">
        <v>69</v>
      </c>
      <c r="C27" t="s">
        <v>10</v>
      </c>
      <c r="D27" t="s">
        <v>15</v>
      </c>
      <c r="E27" s="1">
        <v>46276</v>
      </c>
      <c r="F27" s="1">
        <v>46277</v>
      </c>
      <c r="G27" t="s">
        <v>12</v>
      </c>
      <c r="H27">
        <v>26</v>
      </c>
      <c r="I27">
        <v>36</v>
      </c>
      <c r="J27">
        <v>24</v>
      </c>
      <c r="K27" t="s">
        <v>88</v>
      </c>
      <c r="L27" t="s">
        <v>90</v>
      </c>
      <c r="M27">
        <v>0</v>
      </c>
      <c r="N27">
        <v>1</v>
      </c>
      <c r="O27">
        <v>0</v>
      </c>
    </row>
    <row r="28" spans="1:15" x14ac:dyDescent="0.25">
      <c r="A28" t="s">
        <v>70</v>
      </c>
      <c r="B28" t="s">
        <v>71</v>
      </c>
      <c r="C28" t="s">
        <v>18</v>
      </c>
      <c r="D28" t="s">
        <v>24</v>
      </c>
      <c r="E28" s="1">
        <v>46276</v>
      </c>
      <c r="F28" s="1">
        <v>46279</v>
      </c>
      <c r="G28" t="s">
        <v>12</v>
      </c>
      <c r="H28">
        <v>63</v>
      </c>
      <c r="I28">
        <v>48</v>
      </c>
      <c r="J28">
        <v>72</v>
      </c>
      <c r="K28" t="s">
        <v>92</v>
      </c>
      <c r="L28" t="s">
        <v>93</v>
      </c>
      <c r="M28">
        <v>1</v>
      </c>
      <c r="N28">
        <v>0</v>
      </c>
      <c r="O28">
        <v>0</v>
      </c>
    </row>
    <row r="29" spans="1:15" x14ac:dyDescent="0.25">
      <c r="A29" t="s">
        <v>72</v>
      </c>
      <c r="B29" t="s">
        <v>73</v>
      </c>
      <c r="C29" t="s">
        <v>10</v>
      </c>
      <c r="D29" t="s">
        <v>11</v>
      </c>
      <c r="E29" s="1">
        <v>46277</v>
      </c>
      <c r="F29" s="1">
        <v>46278</v>
      </c>
      <c r="G29" t="s">
        <v>12</v>
      </c>
      <c r="H29">
        <v>25</v>
      </c>
      <c r="I29">
        <v>24</v>
      </c>
      <c r="J29">
        <v>24</v>
      </c>
      <c r="K29" t="s">
        <v>88</v>
      </c>
      <c r="L29" t="s">
        <v>90</v>
      </c>
      <c r="M29">
        <v>0</v>
      </c>
      <c r="N29">
        <v>1</v>
      </c>
      <c r="O29">
        <v>0</v>
      </c>
    </row>
    <row r="30" spans="1:15" x14ac:dyDescent="0.25">
      <c r="A30" t="s">
        <v>74</v>
      </c>
      <c r="B30" t="s">
        <v>9</v>
      </c>
      <c r="C30" t="s">
        <v>10</v>
      </c>
      <c r="D30" t="s">
        <v>15</v>
      </c>
      <c r="E30" s="1">
        <v>46277</v>
      </c>
      <c r="F30" s="1">
        <v>46278</v>
      </c>
      <c r="G30" t="s">
        <v>12</v>
      </c>
      <c r="H30">
        <v>17</v>
      </c>
      <c r="I30">
        <v>36</v>
      </c>
      <c r="J30">
        <v>24</v>
      </c>
      <c r="K30" t="s">
        <v>88</v>
      </c>
      <c r="L30" t="s">
        <v>90</v>
      </c>
      <c r="M30">
        <v>0</v>
      </c>
      <c r="N30">
        <v>1</v>
      </c>
      <c r="O30">
        <v>0</v>
      </c>
    </row>
    <row r="31" spans="1:15" x14ac:dyDescent="0.25">
      <c r="A31" t="s">
        <v>75</v>
      </c>
      <c r="B31" t="s">
        <v>14</v>
      </c>
      <c r="C31" t="s">
        <v>10</v>
      </c>
      <c r="D31" t="s">
        <v>21</v>
      </c>
      <c r="E31" s="1">
        <v>46278</v>
      </c>
      <c r="F31" s="1">
        <v>46278</v>
      </c>
      <c r="G31" t="s">
        <v>12</v>
      </c>
      <c r="H31">
        <v>8</v>
      </c>
      <c r="I31">
        <v>8</v>
      </c>
      <c r="J31">
        <v>0</v>
      </c>
      <c r="K31" t="s">
        <v>88</v>
      </c>
      <c r="L31" t="s">
        <v>89</v>
      </c>
      <c r="M31">
        <v>0</v>
      </c>
      <c r="N31">
        <v>1</v>
      </c>
      <c r="O31">
        <v>0</v>
      </c>
    </row>
    <row r="32" spans="1:15" x14ac:dyDescent="0.25">
      <c r="A32" t="s">
        <v>76</v>
      </c>
      <c r="B32" t="s">
        <v>17</v>
      </c>
      <c r="C32" t="s">
        <v>18</v>
      </c>
      <c r="D32" t="s">
        <v>11</v>
      </c>
      <c r="E32" s="1">
        <v>46278</v>
      </c>
      <c r="F32" s="1">
        <v>46280</v>
      </c>
      <c r="G32" t="s">
        <v>12</v>
      </c>
      <c r="H32">
        <v>45</v>
      </c>
      <c r="I32">
        <v>24</v>
      </c>
      <c r="J32">
        <v>48</v>
      </c>
      <c r="K32" t="s">
        <v>92</v>
      </c>
      <c r="L32" t="s">
        <v>91</v>
      </c>
      <c r="M32">
        <v>1</v>
      </c>
      <c r="N32">
        <v>0</v>
      </c>
      <c r="O32">
        <v>0</v>
      </c>
    </row>
    <row r="33" spans="1:15" x14ac:dyDescent="0.25">
      <c r="A33" t="s">
        <v>77</v>
      </c>
      <c r="B33" t="s">
        <v>20</v>
      </c>
      <c r="C33" t="s">
        <v>18</v>
      </c>
      <c r="D33" t="s">
        <v>15</v>
      </c>
      <c r="E33" s="1">
        <v>46279</v>
      </c>
      <c r="F33" s="1">
        <v>46280</v>
      </c>
      <c r="G33" t="s">
        <v>12</v>
      </c>
      <c r="H33">
        <v>24</v>
      </c>
      <c r="I33">
        <v>36</v>
      </c>
      <c r="J33">
        <v>24</v>
      </c>
      <c r="K33" t="s">
        <v>88</v>
      </c>
      <c r="L33" t="s">
        <v>90</v>
      </c>
      <c r="M33">
        <v>0</v>
      </c>
      <c r="N33">
        <v>1</v>
      </c>
      <c r="O33">
        <v>0</v>
      </c>
    </row>
    <row r="34" spans="1:15" x14ac:dyDescent="0.25">
      <c r="A34" t="s">
        <v>78</v>
      </c>
      <c r="B34" t="s">
        <v>23</v>
      </c>
      <c r="C34" t="s">
        <v>10</v>
      </c>
      <c r="D34" t="s">
        <v>24</v>
      </c>
      <c r="E34" s="1">
        <v>46279</v>
      </c>
      <c r="F34" s="1">
        <v>46281</v>
      </c>
      <c r="G34" t="s">
        <v>12</v>
      </c>
      <c r="H34">
        <v>44</v>
      </c>
      <c r="I34">
        <v>48</v>
      </c>
      <c r="J34">
        <v>48</v>
      </c>
      <c r="K34" t="s">
        <v>88</v>
      </c>
      <c r="L34" t="s">
        <v>91</v>
      </c>
      <c r="M34">
        <v>0</v>
      </c>
      <c r="N34">
        <v>1</v>
      </c>
      <c r="O34">
        <v>0</v>
      </c>
    </row>
    <row r="35" spans="1:15" x14ac:dyDescent="0.25">
      <c r="A35" t="s">
        <v>79</v>
      </c>
      <c r="B35" t="s">
        <v>26</v>
      </c>
      <c r="C35" t="s">
        <v>10</v>
      </c>
      <c r="D35" t="s">
        <v>15</v>
      </c>
      <c r="E35" s="1">
        <v>46280</v>
      </c>
      <c r="F35" s="1">
        <v>46281</v>
      </c>
      <c r="G35" t="s">
        <v>12</v>
      </c>
      <c r="H35">
        <v>19</v>
      </c>
      <c r="I35">
        <v>36</v>
      </c>
      <c r="J35">
        <v>24</v>
      </c>
      <c r="K35" t="s">
        <v>88</v>
      </c>
      <c r="L35" t="s">
        <v>90</v>
      </c>
      <c r="M35">
        <v>0</v>
      </c>
      <c r="N35">
        <v>1</v>
      </c>
      <c r="O35">
        <v>0</v>
      </c>
    </row>
    <row r="36" spans="1:15" x14ac:dyDescent="0.25">
      <c r="A36" t="s">
        <v>80</v>
      </c>
      <c r="B36" t="s">
        <v>28</v>
      </c>
      <c r="C36" t="s">
        <v>18</v>
      </c>
      <c r="D36" t="s">
        <v>11</v>
      </c>
      <c r="E36" s="1">
        <v>46280</v>
      </c>
      <c r="F36" s="1">
        <v>46281</v>
      </c>
      <c r="G36" t="s">
        <v>12</v>
      </c>
      <c r="H36">
        <v>22</v>
      </c>
      <c r="I36">
        <v>24</v>
      </c>
      <c r="J36">
        <v>24</v>
      </c>
      <c r="K36" t="s">
        <v>88</v>
      </c>
      <c r="L36" t="s">
        <v>90</v>
      </c>
      <c r="M36">
        <v>0</v>
      </c>
      <c r="N36">
        <v>1</v>
      </c>
      <c r="O3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FF86-A0AA-4759-B863-361372923AF5}">
  <dimension ref="A1:H36"/>
  <sheetViews>
    <sheetView workbookViewId="0"/>
  </sheetViews>
  <sheetFormatPr defaultRowHeight="15" x14ac:dyDescent="0.25"/>
  <cols>
    <col min="1" max="1" width="11.42578125" bestFit="1" customWidth="1"/>
    <col min="2" max="2" width="14.42578125" bestFit="1" customWidth="1"/>
    <col min="3" max="3" width="9.28515625" bestFit="1" customWidth="1"/>
    <col min="4" max="4" width="9.85546875" bestFit="1" customWidth="1"/>
    <col min="5" max="5" width="15.7109375" bestFit="1" customWidth="1"/>
    <col min="6" max="6" width="14.42578125" bestFit="1" customWidth="1"/>
    <col min="7" max="7" width="8.7109375" bestFit="1" customWidth="1"/>
    <col min="8" max="8" width="1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1">
        <v>46266</v>
      </c>
      <c r="F2" s="1">
        <v>46266</v>
      </c>
      <c r="G2" s="2" t="s">
        <v>12</v>
      </c>
      <c r="H2">
        <v>6</v>
      </c>
    </row>
    <row r="3" spans="1:8" x14ac:dyDescent="0.25">
      <c r="A3" s="2" t="s">
        <v>13</v>
      </c>
      <c r="B3" s="2" t="s">
        <v>14</v>
      </c>
      <c r="C3" s="2" t="s">
        <v>10</v>
      </c>
      <c r="D3" s="2" t="s">
        <v>15</v>
      </c>
      <c r="E3" s="1">
        <v>46266</v>
      </c>
      <c r="F3" s="1">
        <v>46267</v>
      </c>
      <c r="G3" s="2" t="s">
        <v>12</v>
      </c>
      <c r="H3">
        <v>22</v>
      </c>
    </row>
    <row r="4" spans="1:8" x14ac:dyDescent="0.25">
      <c r="A4" s="2" t="s">
        <v>16</v>
      </c>
      <c r="B4" s="2" t="s">
        <v>17</v>
      </c>
      <c r="C4" s="2" t="s">
        <v>18</v>
      </c>
      <c r="D4" s="2" t="s">
        <v>11</v>
      </c>
      <c r="E4" s="1">
        <v>46266</v>
      </c>
      <c r="F4" s="1">
        <v>46267</v>
      </c>
      <c r="G4" s="2" t="s">
        <v>12</v>
      </c>
      <c r="H4">
        <v>18</v>
      </c>
    </row>
    <row r="5" spans="1:8" x14ac:dyDescent="0.25">
      <c r="A5" s="2" t="s">
        <v>19</v>
      </c>
      <c r="B5" s="2" t="s">
        <v>20</v>
      </c>
      <c r="C5" s="2" t="s">
        <v>18</v>
      </c>
      <c r="D5" s="2" t="s">
        <v>21</v>
      </c>
      <c r="E5" s="1">
        <v>46266</v>
      </c>
      <c r="F5" s="1">
        <v>46266</v>
      </c>
      <c r="G5" s="2" t="s">
        <v>12</v>
      </c>
      <c r="H5">
        <v>3</v>
      </c>
    </row>
    <row r="6" spans="1:8" x14ac:dyDescent="0.25">
      <c r="A6" s="2" t="s">
        <v>22</v>
      </c>
      <c r="B6" s="2" t="s">
        <v>23</v>
      </c>
      <c r="C6" s="2" t="s">
        <v>10</v>
      </c>
      <c r="D6" s="2" t="s">
        <v>24</v>
      </c>
      <c r="E6" s="1">
        <v>46267</v>
      </c>
      <c r="F6" s="1">
        <v>46269</v>
      </c>
      <c r="G6" s="2" t="s">
        <v>12</v>
      </c>
      <c r="H6">
        <v>46</v>
      </c>
    </row>
    <row r="7" spans="1:8" x14ac:dyDescent="0.25">
      <c r="A7" s="2" t="s">
        <v>25</v>
      </c>
      <c r="B7" s="2" t="s">
        <v>26</v>
      </c>
      <c r="C7" s="2" t="s">
        <v>10</v>
      </c>
      <c r="D7" s="2" t="s">
        <v>15</v>
      </c>
      <c r="E7" s="1">
        <v>46267</v>
      </c>
      <c r="F7" s="1">
        <v>46268</v>
      </c>
      <c r="G7" s="2" t="s">
        <v>12</v>
      </c>
      <c r="H7">
        <v>20</v>
      </c>
    </row>
    <row r="8" spans="1:8" x14ac:dyDescent="0.25">
      <c r="A8" s="2" t="s">
        <v>27</v>
      </c>
      <c r="B8" s="2" t="s">
        <v>28</v>
      </c>
      <c r="C8" s="2" t="s">
        <v>18</v>
      </c>
      <c r="D8" s="2" t="s">
        <v>11</v>
      </c>
      <c r="E8" s="1">
        <v>46267</v>
      </c>
      <c r="F8" s="1">
        <v>46268</v>
      </c>
      <c r="G8" s="2" t="s">
        <v>12</v>
      </c>
      <c r="H8">
        <v>27</v>
      </c>
    </row>
    <row r="9" spans="1:8" x14ac:dyDescent="0.25">
      <c r="A9" s="2" t="s">
        <v>29</v>
      </c>
      <c r="B9" s="2" t="s">
        <v>30</v>
      </c>
      <c r="C9" s="2" t="s">
        <v>18</v>
      </c>
      <c r="D9" s="2" t="s">
        <v>15</v>
      </c>
      <c r="E9" s="1">
        <v>46268</v>
      </c>
      <c r="F9" s="1">
        <v>46269</v>
      </c>
      <c r="G9" s="2" t="s">
        <v>12</v>
      </c>
      <c r="H9">
        <v>19</v>
      </c>
    </row>
    <row r="10" spans="1:8" x14ac:dyDescent="0.25">
      <c r="A10" s="2" t="s">
        <v>31</v>
      </c>
      <c r="B10" s="2" t="s">
        <v>32</v>
      </c>
      <c r="C10" s="2" t="s">
        <v>10</v>
      </c>
      <c r="D10" s="2" t="s">
        <v>33</v>
      </c>
      <c r="E10" s="1">
        <v>46268</v>
      </c>
      <c r="F10" s="1">
        <v>46269</v>
      </c>
      <c r="G10" s="2" t="s">
        <v>12</v>
      </c>
      <c r="H10">
        <v>21</v>
      </c>
    </row>
    <row r="11" spans="1:8" x14ac:dyDescent="0.25">
      <c r="A11" s="2" t="s">
        <v>34</v>
      </c>
      <c r="B11" s="2" t="s">
        <v>35</v>
      </c>
      <c r="C11" s="2" t="s">
        <v>10</v>
      </c>
      <c r="D11" s="2" t="s">
        <v>24</v>
      </c>
      <c r="E11" s="1">
        <v>46268</v>
      </c>
      <c r="F11" s="1"/>
      <c r="G11" s="2" t="s">
        <v>36</v>
      </c>
    </row>
    <row r="12" spans="1:8" x14ac:dyDescent="0.25">
      <c r="A12" s="2" t="s">
        <v>37</v>
      </c>
      <c r="B12" s="2" t="s">
        <v>38</v>
      </c>
      <c r="C12" s="2" t="s">
        <v>18</v>
      </c>
      <c r="D12" s="2" t="s">
        <v>21</v>
      </c>
      <c r="E12" s="1">
        <v>46269</v>
      </c>
      <c r="F12" s="1">
        <v>46269</v>
      </c>
      <c r="G12" s="2" t="s">
        <v>12</v>
      </c>
      <c r="H12">
        <v>5</v>
      </c>
    </row>
    <row r="13" spans="1:8" x14ac:dyDescent="0.25">
      <c r="A13" s="2" t="s">
        <v>39</v>
      </c>
      <c r="B13" s="2" t="s">
        <v>40</v>
      </c>
      <c r="C13" s="2" t="s">
        <v>10</v>
      </c>
      <c r="D13" s="2" t="s">
        <v>15</v>
      </c>
      <c r="E13" s="1">
        <v>46269</v>
      </c>
      <c r="F13" s="1">
        <v>46271</v>
      </c>
      <c r="G13" s="2" t="s">
        <v>12</v>
      </c>
      <c r="H13">
        <v>43</v>
      </c>
    </row>
    <row r="14" spans="1:8" x14ac:dyDescent="0.25">
      <c r="A14" s="2" t="s">
        <v>41</v>
      </c>
      <c r="B14" s="2" t="s">
        <v>42</v>
      </c>
      <c r="C14" s="2" t="s">
        <v>18</v>
      </c>
      <c r="D14" s="2" t="s">
        <v>11</v>
      </c>
      <c r="E14" s="1">
        <v>46270</v>
      </c>
      <c r="F14" s="1">
        <v>46270</v>
      </c>
      <c r="G14" s="2" t="s">
        <v>12</v>
      </c>
      <c r="H14">
        <v>7</v>
      </c>
    </row>
    <row r="15" spans="1:8" x14ac:dyDescent="0.25">
      <c r="A15" s="2" t="s">
        <v>43</v>
      </c>
      <c r="B15" s="2" t="s">
        <v>44</v>
      </c>
      <c r="C15" s="2" t="s">
        <v>10</v>
      </c>
      <c r="D15" s="2" t="s">
        <v>15</v>
      </c>
      <c r="E15" s="1">
        <v>46270</v>
      </c>
      <c r="F15" s="1">
        <v>46271</v>
      </c>
      <c r="G15" s="2" t="s">
        <v>12</v>
      </c>
      <c r="H15">
        <v>25</v>
      </c>
    </row>
    <row r="16" spans="1:8" x14ac:dyDescent="0.25">
      <c r="A16" s="2" t="s">
        <v>45</v>
      </c>
      <c r="B16" s="2" t="s">
        <v>46</v>
      </c>
      <c r="C16" s="2" t="s">
        <v>18</v>
      </c>
      <c r="D16" s="2" t="s">
        <v>24</v>
      </c>
      <c r="E16" s="1">
        <v>46270</v>
      </c>
      <c r="F16" s="1">
        <v>46273</v>
      </c>
      <c r="G16" s="2" t="s">
        <v>12</v>
      </c>
      <c r="H16">
        <v>68</v>
      </c>
    </row>
    <row r="17" spans="1:8" x14ac:dyDescent="0.25">
      <c r="A17" s="2" t="s">
        <v>47</v>
      </c>
      <c r="B17" s="2" t="s">
        <v>48</v>
      </c>
      <c r="C17" s="2" t="s">
        <v>10</v>
      </c>
      <c r="D17" s="2" t="s">
        <v>15</v>
      </c>
      <c r="E17" s="1">
        <v>46271</v>
      </c>
      <c r="F17" s="1">
        <v>46272</v>
      </c>
      <c r="G17" s="2" t="s">
        <v>49</v>
      </c>
      <c r="H17">
        <v>21</v>
      </c>
    </row>
    <row r="18" spans="1:8" x14ac:dyDescent="0.25">
      <c r="A18" s="2" t="s">
        <v>50</v>
      </c>
      <c r="B18" s="2" t="s">
        <v>51</v>
      </c>
      <c r="C18" s="2" t="s">
        <v>18</v>
      </c>
      <c r="D18" s="2" t="s">
        <v>21</v>
      </c>
      <c r="E18" s="1">
        <v>46271</v>
      </c>
      <c r="F18" s="1">
        <v>46272</v>
      </c>
      <c r="G18" s="2" t="s">
        <v>12</v>
      </c>
      <c r="H18">
        <v>26</v>
      </c>
    </row>
    <row r="19" spans="1:8" x14ac:dyDescent="0.25">
      <c r="A19" s="2" t="s">
        <v>52</v>
      </c>
      <c r="B19" s="2" t="s">
        <v>53</v>
      </c>
      <c r="C19" s="2" t="s">
        <v>10</v>
      </c>
      <c r="D19" s="2" t="s">
        <v>11</v>
      </c>
      <c r="E19" s="1">
        <v>46272</v>
      </c>
      <c r="F19" s="1">
        <v>46273</v>
      </c>
      <c r="G19" s="2" t="s">
        <v>12</v>
      </c>
      <c r="H19">
        <v>20</v>
      </c>
    </row>
    <row r="20" spans="1:8" x14ac:dyDescent="0.25">
      <c r="A20" s="2" t="s">
        <v>54</v>
      </c>
      <c r="B20" s="2" t="s">
        <v>55</v>
      </c>
      <c r="C20" s="2" t="s">
        <v>18</v>
      </c>
      <c r="D20" s="2" t="s">
        <v>15</v>
      </c>
      <c r="E20" s="1">
        <v>46272</v>
      </c>
      <c r="F20" s="1">
        <v>46274</v>
      </c>
      <c r="G20" s="2" t="s">
        <v>12</v>
      </c>
      <c r="H20">
        <v>39</v>
      </c>
    </row>
    <row r="21" spans="1:8" x14ac:dyDescent="0.25">
      <c r="A21" s="2" t="s">
        <v>56</v>
      </c>
      <c r="B21" s="2" t="s">
        <v>57</v>
      </c>
      <c r="C21" s="2" t="s">
        <v>10</v>
      </c>
      <c r="D21" s="2" t="s">
        <v>24</v>
      </c>
      <c r="E21" s="1">
        <v>46273</v>
      </c>
      <c r="F21" s="1">
        <v>46275</v>
      </c>
      <c r="G21" s="2" t="s">
        <v>12</v>
      </c>
      <c r="H21">
        <v>41</v>
      </c>
    </row>
    <row r="22" spans="1:8" x14ac:dyDescent="0.25">
      <c r="A22" s="2" t="s">
        <v>58</v>
      </c>
      <c r="B22" s="2" t="s">
        <v>59</v>
      </c>
      <c r="C22" s="2" t="s">
        <v>18</v>
      </c>
      <c r="D22" s="2" t="s">
        <v>11</v>
      </c>
      <c r="E22" s="1">
        <v>46273</v>
      </c>
      <c r="F22" s="1">
        <v>46274</v>
      </c>
      <c r="G22" s="2" t="s">
        <v>12</v>
      </c>
      <c r="H22">
        <v>30</v>
      </c>
    </row>
    <row r="23" spans="1:8" x14ac:dyDescent="0.25">
      <c r="A23" s="2" t="s">
        <v>60</v>
      </c>
      <c r="B23" s="2" t="s">
        <v>61</v>
      </c>
      <c r="C23" s="2" t="s">
        <v>10</v>
      </c>
      <c r="D23" s="2" t="s">
        <v>15</v>
      </c>
      <c r="E23" s="1">
        <v>46274</v>
      </c>
      <c r="F23" s="1">
        <v>46275</v>
      </c>
      <c r="G23" s="2" t="s">
        <v>12</v>
      </c>
      <c r="H23">
        <v>18</v>
      </c>
    </row>
    <row r="24" spans="1:8" x14ac:dyDescent="0.25">
      <c r="A24" s="2" t="s">
        <v>62</v>
      </c>
      <c r="B24" s="2" t="s">
        <v>63</v>
      </c>
      <c r="C24" s="2" t="s">
        <v>18</v>
      </c>
      <c r="D24" s="2" t="s">
        <v>21</v>
      </c>
      <c r="E24" s="1">
        <v>46274</v>
      </c>
      <c r="F24" s="1">
        <v>46274</v>
      </c>
      <c r="G24" s="2" t="s">
        <v>12</v>
      </c>
      <c r="H24">
        <v>4</v>
      </c>
    </row>
    <row r="25" spans="1:8" x14ac:dyDescent="0.25">
      <c r="A25" s="2" t="s">
        <v>64</v>
      </c>
      <c r="B25" s="2" t="s">
        <v>65</v>
      </c>
      <c r="C25" s="2" t="s">
        <v>10</v>
      </c>
      <c r="D25" s="2" t="s">
        <v>24</v>
      </c>
      <c r="E25" s="1">
        <v>46275</v>
      </c>
      <c r="F25" s="1">
        <v>46277</v>
      </c>
      <c r="G25" s="2" t="s">
        <v>12</v>
      </c>
      <c r="H25">
        <v>38</v>
      </c>
    </row>
    <row r="26" spans="1:8" x14ac:dyDescent="0.25">
      <c r="A26" s="2" t="s">
        <v>66</v>
      </c>
      <c r="B26" s="2" t="s">
        <v>67</v>
      </c>
      <c r="C26" s="2" t="s">
        <v>18</v>
      </c>
      <c r="D26" s="2" t="s">
        <v>11</v>
      </c>
      <c r="E26" s="1">
        <v>46275</v>
      </c>
      <c r="F26" s="1">
        <v>46276</v>
      </c>
      <c r="G26" s="2" t="s">
        <v>12</v>
      </c>
      <c r="H26">
        <v>23</v>
      </c>
    </row>
    <row r="27" spans="1:8" x14ac:dyDescent="0.25">
      <c r="A27" s="2" t="s">
        <v>68</v>
      </c>
      <c r="B27" s="2" t="s">
        <v>69</v>
      </c>
      <c r="C27" s="2" t="s">
        <v>10</v>
      </c>
      <c r="D27" s="2" t="s">
        <v>15</v>
      </c>
      <c r="E27" s="1">
        <v>46276</v>
      </c>
      <c r="F27" s="1">
        <v>46277</v>
      </c>
      <c r="G27" s="2" t="s">
        <v>12</v>
      </c>
      <c r="H27">
        <v>26</v>
      </c>
    </row>
    <row r="28" spans="1:8" x14ac:dyDescent="0.25">
      <c r="A28" s="2" t="s">
        <v>70</v>
      </c>
      <c r="B28" s="2" t="s">
        <v>71</v>
      </c>
      <c r="C28" s="2" t="s">
        <v>18</v>
      </c>
      <c r="D28" s="2" t="s">
        <v>24</v>
      </c>
      <c r="E28" s="1">
        <v>46276</v>
      </c>
      <c r="F28" s="1">
        <v>46279</v>
      </c>
      <c r="G28" s="2" t="s">
        <v>12</v>
      </c>
      <c r="H28">
        <v>63</v>
      </c>
    </row>
    <row r="29" spans="1:8" x14ac:dyDescent="0.25">
      <c r="A29" s="2" t="s">
        <v>72</v>
      </c>
      <c r="B29" s="2" t="s">
        <v>73</v>
      </c>
      <c r="C29" s="2" t="s">
        <v>10</v>
      </c>
      <c r="D29" s="2" t="s">
        <v>11</v>
      </c>
      <c r="E29" s="1">
        <v>46277</v>
      </c>
      <c r="F29" s="1">
        <v>46278</v>
      </c>
      <c r="G29" s="2" t="s">
        <v>12</v>
      </c>
      <c r="H29">
        <v>25</v>
      </c>
    </row>
    <row r="30" spans="1:8" x14ac:dyDescent="0.25">
      <c r="A30" s="2" t="s">
        <v>74</v>
      </c>
      <c r="B30" s="2" t="s">
        <v>9</v>
      </c>
      <c r="C30" s="2" t="s">
        <v>10</v>
      </c>
      <c r="D30" s="2" t="s">
        <v>15</v>
      </c>
      <c r="E30" s="1">
        <v>46277</v>
      </c>
      <c r="F30" s="1">
        <v>46278</v>
      </c>
      <c r="G30" s="2" t="s">
        <v>12</v>
      </c>
      <c r="H30">
        <v>17</v>
      </c>
    </row>
    <row r="31" spans="1:8" x14ac:dyDescent="0.25">
      <c r="A31" s="2" t="s">
        <v>75</v>
      </c>
      <c r="B31" s="2" t="s">
        <v>14</v>
      </c>
      <c r="C31" s="2" t="s">
        <v>10</v>
      </c>
      <c r="D31" s="2" t="s">
        <v>21</v>
      </c>
      <c r="E31" s="1">
        <v>46278</v>
      </c>
      <c r="F31" s="1">
        <v>46278</v>
      </c>
      <c r="G31" s="2" t="s">
        <v>12</v>
      </c>
      <c r="H31">
        <v>8</v>
      </c>
    </row>
    <row r="32" spans="1:8" x14ac:dyDescent="0.25">
      <c r="A32" s="2" t="s">
        <v>76</v>
      </c>
      <c r="B32" s="2" t="s">
        <v>17</v>
      </c>
      <c r="C32" s="2" t="s">
        <v>18</v>
      </c>
      <c r="D32" s="2" t="s">
        <v>11</v>
      </c>
      <c r="E32" s="1">
        <v>46278</v>
      </c>
      <c r="F32" s="1">
        <v>46280</v>
      </c>
      <c r="G32" s="2" t="s">
        <v>12</v>
      </c>
      <c r="H32">
        <v>45</v>
      </c>
    </row>
    <row r="33" spans="1:8" x14ac:dyDescent="0.25">
      <c r="A33" s="2" t="s">
        <v>77</v>
      </c>
      <c r="B33" s="2" t="s">
        <v>20</v>
      </c>
      <c r="C33" s="2" t="s">
        <v>18</v>
      </c>
      <c r="D33" s="2" t="s">
        <v>15</v>
      </c>
      <c r="E33" s="1">
        <v>46279</v>
      </c>
      <c r="F33" s="1">
        <v>46280</v>
      </c>
      <c r="G33" s="2" t="s">
        <v>12</v>
      </c>
      <c r="H33">
        <v>24</v>
      </c>
    </row>
    <row r="34" spans="1:8" x14ac:dyDescent="0.25">
      <c r="A34" s="2" t="s">
        <v>78</v>
      </c>
      <c r="B34" s="2" t="s">
        <v>23</v>
      </c>
      <c r="C34" s="2" t="s">
        <v>10</v>
      </c>
      <c r="D34" s="2" t="s">
        <v>24</v>
      </c>
      <c r="E34" s="1">
        <v>46279</v>
      </c>
      <c r="F34" s="1">
        <v>46281</v>
      </c>
      <c r="G34" s="2" t="s">
        <v>12</v>
      </c>
      <c r="H34">
        <v>44</v>
      </c>
    </row>
    <row r="35" spans="1:8" x14ac:dyDescent="0.25">
      <c r="A35" s="2" t="s">
        <v>79</v>
      </c>
      <c r="B35" s="2" t="s">
        <v>26</v>
      </c>
      <c r="C35" s="2" t="s">
        <v>10</v>
      </c>
      <c r="D35" s="2" t="s">
        <v>15</v>
      </c>
      <c r="E35" s="1">
        <v>46280</v>
      </c>
      <c r="F35" s="1">
        <v>46281</v>
      </c>
      <c r="G35" s="2" t="s">
        <v>12</v>
      </c>
      <c r="H35">
        <v>19</v>
      </c>
    </row>
    <row r="36" spans="1:8" x14ac:dyDescent="0.25">
      <c r="A36" s="2" t="s">
        <v>80</v>
      </c>
      <c r="B36" s="2" t="s">
        <v>28</v>
      </c>
      <c r="C36" s="2" t="s">
        <v>18</v>
      </c>
      <c r="D36" s="2" t="s">
        <v>11</v>
      </c>
      <c r="E36" s="1">
        <v>46280</v>
      </c>
      <c r="F36" s="1">
        <v>46281</v>
      </c>
      <c r="G36" s="2" t="s">
        <v>12</v>
      </c>
      <c r="H36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957C8B-B7A0-48A4-B04D-7803AB01F2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SLA_Dashboard</vt:lpstr>
      <vt:lpstr>Management_Summary</vt:lpstr>
      <vt:lpstr>SLA_Rules</vt:lpstr>
      <vt:lpstr>Cleaned_Tickets</vt:lpstr>
      <vt:lpstr>Raw_Tickets</vt:lpstr>
      <vt:lpstr>SLA_Dashboard!Print_Area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Jainth</cp:lastModifiedBy>
  <cp:lastPrinted>2026-10-06T05:55:34Z</cp:lastPrinted>
  <dcterms:created xsi:type="dcterms:W3CDTF">2026-10-06T04:10:14Z</dcterms:created>
  <dcterms:modified xsi:type="dcterms:W3CDTF">2026-10-06T06:01:05Z</dcterms:modified>
</cp:coreProperties>
</file>